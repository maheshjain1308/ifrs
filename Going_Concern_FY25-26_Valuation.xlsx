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Summary" sheetId="1" state="visible" r:id="rId3"/>
    <sheet name="Valuation" sheetId="2" state="visible" r:id="rId4"/>
    <sheet name="Assumptions" sheetId="3" state="visible" r:id="rId5"/>
    <sheet name="FY26 Actual" sheetId="4" state="visible" r:id="rId6"/>
    <sheet name="Global PNL" sheetId="5" state="visible" r:id="rId7"/>
    <sheet name="Working Capital" sheetId="6" state="visible" r:id="rId8"/>
    <sheet name="Global Cashflow" sheetId="7" state="visible" r:id="rId9"/>
    <sheet name="Sensitivity" sheetId="8" state="visible" r:id="rId10"/>
    <sheet name="YoY Trend" sheetId="9" state="visible" r:id="rId11"/>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C12" authorId="0">
      <text>
        <r>
          <rPr>
            <sz val="10"/>
            <rFont val="Arial"/>
            <family val="2"/>
          </rPr>
          <t xml:space="preserve">FY26 channel partner cost not separately disclosed in audited FS; embedded in software development cost. Enter if available.</t>
        </r>
      </text>
    </comment>
  </commentList>
</comments>
</file>

<file path=xl/sharedStrings.xml><?xml version="1.0" encoding="utf-8"?>
<sst xmlns="http://schemas.openxmlformats.org/spreadsheetml/2006/main" count="633" uniqueCount="478">
  <si>
    <t xml:space="preserve">Infrasoft Technologies Limited (Kiya.ai) – Consolidated</t>
  </si>
  <si>
    <t xml:space="preserve">Going Concern Assessment – Summary (FY 2025-26)</t>
  </si>
  <si>
    <t xml:space="preserve">Going concern assessment for the year ended 31 March 2026  |  All amounts in INR Lakhs unless stated</t>
  </si>
  <si>
    <t xml:space="preserve">INR Lakhs</t>
  </si>
  <si>
    <t xml:space="preserve">FY 2025-26 (A)</t>
  </si>
  <si>
    <t xml:space="preserve">FY 2026-27 (B)</t>
  </si>
  <si>
    <t xml:space="preserve">Apr-Sep 27 (P)</t>
  </si>
  <si>
    <t xml:space="preserve">Growth / change</t>
  </si>
  <si>
    <t xml:space="preserve">Gross revenue</t>
  </si>
  <si>
    <t xml:space="preserve">Channel partner cost</t>
  </si>
  <si>
    <t xml:space="preserve">Net revenue</t>
  </si>
  <si>
    <t xml:space="preserve">Operating cost (CoR + G&amp;A + S&amp;M)</t>
  </si>
  <si>
    <t xml:space="preserve">EBITDA before ECL / write-offs</t>
  </si>
  <si>
    <t xml:space="preserve">ECL provision &amp; write-offs</t>
  </si>
  <si>
    <t xml:space="preserve">EBITDA after ECL / write-offs</t>
  </si>
  <si>
    <t xml:space="preserve">EBITDA % of gross revenue</t>
  </si>
  <si>
    <t xml:space="preserve">Profit / (Loss) before tax</t>
  </si>
  <si>
    <t xml:space="preserve">Profit / (Loss) after tax</t>
  </si>
  <si>
    <t xml:space="preserve">Liquidity</t>
  </si>
  <si>
    <t xml:space="preserve">Cash &amp; cash equivalents – 31 March 2026 (audited)</t>
  </si>
  <si>
    <t xml:space="preserve">Projected cash – 31 March 2027</t>
  </si>
  <si>
    <t xml:space="preserve">Projected cash – 30 September 2027</t>
  </si>
  <si>
    <t xml:space="preserve">Minimum month-end cash over Apr-26 to Sep-27</t>
  </si>
  <si>
    <t xml:space="preserve">Months with negative closing cash</t>
  </si>
  <si>
    <t xml:space="preserve">Borrowings at 31 March 2026</t>
  </si>
  <si>
    <t xml:space="preserve">Closing cash 31-Mar-27 – combined stress (revenue –5%, cost +2%)</t>
  </si>
  <si>
    <t xml:space="preserve">Revenue decline that brings FY27 EBITDA to nil</t>
  </si>
  <si>
    <t xml:space="preserve">Going-concern indicator checks</t>
  </si>
  <si>
    <t xml:space="preserve">FY27 EBITDA equals 12% of gross revenue</t>
  </si>
  <si>
    <t xml:space="preserve">Positive net worth at 31-Mar-26</t>
  </si>
  <si>
    <t xml:space="preserve">Cash stays positive in every month to Sep-27 (base case)</t>
  </si>
  <si>
    <t xml:space="preserve">Cash stays positive at 31-Mar-27 under combined stress</t>
  </si>
  <si>
    <t xml:space="preserve">No external borrowings at 31-Mar-26</t>
  </si>
  <si>
    <t xml:space="preserve">Management assessment (draft)</t>
  </si>
  <si>
    <t xml:space="preserve">• The Group reported a loss before tax of INR 4,327.8 lakhs for FY 2025-26. The main driver was a one-time clean-up of receivables: ECL, bad-debt and unbilled revenue write-offs of about INR 3,647 lakhs. Before these write-offs, EBITDA was positive.</t>
  </si>
  <si>
    <t xml:space="preserve">• The Group has positive net worth, no external borrowings at 31 March 2026, and cash &amp; cash equivalents of INR 4,324.9 lakhs. It also holds a further INR 1,470 lakhs in other bank balances and current investments.</t>
  </si>
  <si>
    <t xml:space="preserve">• FY 2026-27 budget: gross revenue INR 44,500 lakhs and net revenue INR 43,200 lakhs (after INR 1,300 lakhs channel partner cost). Operating costs are rationalised to deliver EBITDA of 12% of gross revenue.</t>
  </si>
  <si>
    <t xml:space="preserve">• Apr-Sep 2027 is projected at a 10% annualised increase on FY 2026-27. Month-end cash balances stay positive in every month through September 2027, i.e. 12 months from the date of approval of the financial statements. The lowest point is about INR 1,750 lakhs in Aug-26, because revenue is back-ended while costs are spread evenly.</t>
  </si>
  <si>
    <t xml:space="preserve">• Under the combined stress (revenue –5%, cost +2%), closing cash at 31 March 2027 remains positive. Based on the above, the going concern assumption is considered appropriate and no material uncertainty is expected.</t>
  </si>
  <si>
    <t xml:space="preserve">Business Valuation – DCF (FCFF) with Market Cross-checks</t>
  </si>
  <si>
    <t xml:space="preserve">Valuation date 31 March 2026 (audited balance sheet)  |  INR Lakhs unless stated  |  Blue on yellow = input; green = link to another sheet; black = formula</t>
  </si>
  <si>
    <t xml:space="preserve">A. Valuation assumptions</t>
  </si>
  <si>
    <t xml:space="preserve">Value</t>
  </si>
  <si>
    <t xml:space="preserve">Unit</t>
  </si>
  <si>
    <t xml:space="preserve">Basis / Source</t>
  </si>
  <si>
    <t xml:space="preserve">Risk-free rate</t>
  </si>
  <si>
    <t xml:space="preserve">%</t>
  </si>
  <si>
    <t xml:space="preserve">Assumption – approx. yield on 10-yr Government of India bond (update to valuation-date yield)</t>
  </si>
  <si>
    <t xml:space="preserve">Equity risk premium (India)</t>
  </si>
  <si>
    <t xml:space="preserve">Assumption – long-run India ERP range 6.5%–7.5%</t>
  </si>
  <si>
    <t xml:space="preserve">Equity beta (levered)</t>
  </si>
  <si>
    <t xml:space="preserve">x</t>
  </si>
  <si>
    <t xml:space="preserve">Assumption – listed Indian IT/software product &amp; services peers ~0.9–1.3; company is debt-free so levered ≈ unlevered</t>
  </si>
  <si>
    <t xml:space="preserve">Size / company-specific risk premium</t>
  </si>
  <si>
    <t xml:space="preserve">Assumption – small cap, FY26 loss &amp; receivable write-offs, concentration of receivables, execution risk on FY27 budget</t>
  </si>
  <si>
    <t xml:space="preserve">Cost of equity (CAPM + premium)</t>
  </si>
  <si>
    <t xml:space="preserve">Formula: Rf + β × ERP + specific premium</t>
  </si>
  <si>
    <t xml:space="preserve">Pre-tax cost of debt</t>
  </si>
  <si>
    <t xml:space="preserve">Assumption – indicative INR working-capital borrowing rate (only used if target debt &gt; 0)</t>
  </si>
  <si>
    <t xml:space="preserve">Tax rate</t>
  </si>
  <si>
    <t xml:space="preserve">Link: Sec 115BAA effective rate</t>
  </si>
  <si>
    <t xml:space="preserve">Target debt / (debt + equity)</t>
  </si>
  <si>
    <t xml:space="preserve">Assumption – no borrowings at 31-Mar-26 (Note 18); lease liabilities treated as operating (lease payments deducted in FCFF)</t>
  </si>
  <si>
    <t xml:space="preserve">WACC</t>
  </si>
  <si>
    <t xml:space="preserve">Formula: Ke × E/V + Kd × (1–t) × D/V</t>
  </si>
  <si>
    <t xml:space="preserve">Terminal growth rate (g)</t>
  </si>
  <si>
    <t xml:space="preserve">Assumption – below long-run nominal GDP growth of India; capped at ~5%</t>
  </si>
  <si>
    <t xml:space="preserve">Mid-year discounting (1 = yes, 0 = year-end)</t>
  </si>
  <si>
    <t xml:space="preserve">switch</t>
  </si>
  <si>
    <t xml:space="preserve">Assumption – cash flows arise evenly through the year</t>
  </si>
  <si>
    <t xml:space="preserve">Net working capital % of net revenue</t>
  </si>
  <si>
    <t xml:space="preserve">Link: 31-Mar-27 budget NWC (receivables + unbilled – unearned – payables) ÷ FY27 net revenue; used for incremental NWC FY28+</t>
  </si>
  <si>
    <t xml:space="preserve">EBITDA (after ECL) % of net revenue</t>
  </si>
  <si>
    <t xml:space="preserve">Link: FY27 budget – 12% of gross revenue = 12.36% of net revenue; held flat (no further margin expansion)</t>
  </si>
  <si>
    <t xml:space="preserve">D&amp;A % of net revenue</t>
  </si>
  <si>
    <t xml:space="preserve">Link: FY27 D&amp;A held at FY26 level, kept at same % of revenue</t>
  </si>
  <si>
    <t xml:space="preserve">Capex % of net revenue</t>
  </si>
  <si>
    <t xml:space="preserve">Link: FY27 capex INR 300 lakhs</t>
  </si>
  <si>
    <t xml:space="preserve">Lease payments % of net revenue</t>
  </si>
  <si>
    <t xml:space="preserve">Link: FY27 lease payments (principal + interest) – Ind AS 116 cash cost deducted from FCFF</t>
  </si>
  <si>
    <t xml:space="preserve">Terminal FCFF margin before NWC (k)</t>
  </si>
  <si>
    <t xml:space="preserve">Formula: terminal D&amp;A set = capex + lease payments (steady state); used in terminal value and sensitivity grid</t>
  </si>
  <si>
    <t xml:space="preserve">Shares outstanding (lakhs)</t>
  </si>
  <si>
    <t xml:space="preserve">lakhs</t>
  </si>
  <si>
    <t xml:space="preserve">INPUT REQUIRED – share count not in the workbook; per-share value computes once entered</t>
  </si>
  <si>
    <t xml:space="preserve">B. Free cash flow to firm (FCFF) projection</t>
  </si>
  <si>
    <t xml:space="preserve">FY26 (A)</t>
  </si>
  <si>
    <t xml:space="preserve">FY27 (B)</t>
  </si>
  <si>
    <t xml:space="preserve">FY28 (P)</t>
  </si>
  <si>
    <t xml:space="preserve">FY29 (P)</t>
  </si>
  <si>
    <t xml:space="preserve">FY30 (P)</t>
  </si>
  <si>
    <t xml:space="preserve">FY31 (P)</t>
  </si>
  <si>
    <t xml:space="preserve">Terminal</t>
  </si>
  <si>
    <t xml:space="preserve">Net revenue growth %</t>
  </si>
  <si>
    <t xml:space="preserve">EBITDA margin % (after ECL / write-offs)</t>
  </si>
  <si>
    <t xml:space="preserve">EBITDA (after ECL / write-offs)</t>
  </si>
  <si>
    <t xml:space="preserve">Less: D&amp;A</t>
  </si>
  <si>
    <t xml:space="preserve">EBIT (lease cost excluded – deducted below)</t>
  </si>
  <si>
    <t xml:space="preserve">Less: Tax on EBIT</t>
  </si>
  <si>
    <t xml:space="preserve">Less: Capital expenditure</t>
  </si>
  <si>
    <t xml:space="preserve">Less: Lease payments (principal + interest)</t>
  </si>
  <si>
    <t xml:space="preserve">(Increase)/decrease in net working capital</t>
  </si>
  <si>
    <t xml:space="preserve">Free cash flow to firm (FCFF)</t>
  </si>
  <si>
    <t xml:space="preserve">Discount period (years)</t>
  </si>
  <si>
    <t xml:space="preserve">Discount factor</t>
  </si>
  <si>
    <t xml:space="preserve">PV of FCFF</t>
  </si>
  <si>
    <t xml:space="preserve">Check: FY27 EBITDA agrees to Summary (must be zero)</t>
  </si>
  <si>
    <t xml:space="preserve">Check: terminal FCFF agrees to closed form k-based formula (must be zero)</t>
  </si>
  <si>
    <t xml:space="preserve">C. DCF valuation – enterprise value to equity value</t>
  </si>
  <si>
    <t xml:space="preserve">Sum of PV of FCFF FY27–FY31</t>
  </si>
  <si>
    <t xml:space="preserve">Terminal value at FY31 (Gordon growth) = FCFF(T) ÷ (WACC – g)</t>
  </si>
  <si>
    <t xml:space="preserve">PV of terminal value</t>
  </si>
  <si>
    <t xml:space="preserve">Enterprise value (DCF)</t>
  </si>
  <si>
    <t xml:space="preserve">Terminal value as % of enterprise value</t>
  </si>
  <si>
    <t xml:space="preserve">Implied EV / FY27 EBITDA</t>
  </si>
  <si>
    <t xml:space="preserve">Implied EV / FY27 net revenue</t>
  </si>
  <si>
    <t xml:space="preserve">Add: Cash &amp; cash equivalents (31-Mar-26)</t>
  </si>
  <si>
    <t xml:space="preserve">Add: Other bank balances incl. lien FDs</t>
  </si>
  <si>
    <t xml:space="preserve">Add: Current investments</t>
  </si>
  <si>
    <t xml:space="preserve">Less: Borrowings</t>
  </si>
  <si>
    <t xml:space="preserve">Equity value (DCF) – INR Lakhs</t>
  </si>
  <si>
    <t xml:space="preserve">Equity value (DCF) – INR Crore</t>
  </si>
  <si>
    <t xml:space="preserve">Value per share (INR) – needs share count in B23</t>
  </si>
  <si>
    <t xml:space="preserve">Memo: Lease liabilities (not deducted – lease payments already in FCFF)</t>
  </si>
  <si>
    <t xml:space="preserve">D. Market cross-checks (FY27E metrics)</t>
  </si>
  <si>
    <t xml:space="preserve">Multiple – Low</t>
  </si>
  <si>
    <t xml:space="preserve">Base</t>
  </si>
  <si>
    <t xml:space="preserve">High</t>
  </si>
  <si>
    <t xml:space="preserve">Metric (INR Lakhs)</t>
  </si>
  <si>
    <t xml:space="preserve">Equity – Low</t>
  </si>
  <si>
    <t xml:space="preserve">EV / FY27E EBITDA (after ECL)</t>
  </si>
  <si>
    <t xml:space="preserve">Assumption – small-cap Indian IT services/software range 6–10x; discount to large caps for size, FY26 loss, receivable quality</t>
  </si>
  <si>
    <t xml:space="preserve">EV / FY27E net revenue</t>
  </si>
  <si>
    <t xml:space="preserve">Assumption – consistent with ~12% EBITDA margin at 6–10x EBITDA</t>
  </si>
  <si>
    <t xml:space="preserve">Price / Book (31-Mar-26 equity)</t>
  </si>
  <si>
    <t xml:space="preserve">Assumption – book equity INR 27,672 lakhs; includes large receivable/unbilled balances so ~1.0x applied</t>
  </si>
  <si>
    <t xml:space="preserve">DCF (low = WACC +1% / g –0.5%; high = WACC –1% / g +0.5%; base per section C)</t>
  </si>
  <si>
    <t xml:space="preserve">E. Valuation summary – weighted equity value</t>
  </si>
  <si>
    <t xml:space="preserve">Weight</t>
  </si>
  <si>
    <t xml:space="preserve">Low</t>
  </si>
  <si>
    <t xml:space="preserve">Base – INR Crore</t>
  </si>
  <si>
    <t xml:space="preserve">DCF (FCFF)</t>
  </si>
  <si>
    <t xml:space="preserve">EV / EBITDA</t>
  </si>
  <si>
    <t xml:space="preserve">EV / Net revenue</t>
  </si>
  <si>
    <t xml:space="preserve">Price / Book</t>
  </si>
  <si>
    <t xml:space="preserve">Weighted equity value – INR Lakhs</t>
  </si>
  <si>
    <t xml:space="preserve">Check: weights total 100% (must be zero)</t>
  </si>
  <si>
    <t xml:space="preserve">Weighted value per share (INR)</t>
  </si>
  <si>
    <t xml:space="preserve">Implied EV / FY27 EBITDA at weighted equity value</t>
  </si>
  <si>
    <t xml:space="preserve">Weighted value as multiple of book equity</t>
  </si>
  <si>
    <t xml:space="preserve">F. DCF equity value sensitivity (INR Lakhs) – WACC (rows) vs terminal growth (columns); higher g adds NWC investment so value is only mildly sensitive to g</t>
  </si>
  <si>
    <t xml:space="preserve">WACC ↓ / g →</t>
  </si>
  <si>
    <t xml:space="preserve">G. Methodology, key assumptions and limitations</t>
  </si>
  <si>
    <t xml:space="preserve">1. Method: primary = 5-year DCF of free cash flow to firm (FY27 budget + FY28–FY31) with Gordon-growth terminal value; cross-checked with EV/EBITDA, EV/Revenue and P/B. Final value is a weighted blend (weights in section E).</t>
  </si>
  <si>
    <t xml:space="preserve">2. FY27 = management budget (net revenue 43,200; EBITDA after ECL 5,340 = 12% of gross revenue) and FY27 working-capital cash impact are linked from the existing sheets. FY28 growth 10% is linked to the Apr–Sep 27 projection assumption; FY29–FY31 growth fades 9% / 8% / 7% (analyst assumption). Terminal growth 5%.</t>
  </si>
  <si>
    <t xml:space="preserve">3. EBITDA margin is held at the FY27 budget level (12.36% of net revenue). FY26 EBITDA was negative (–2,619) due to 3,647 of ECL/write-offs; the FY27 budget is a significant turnaround, so the valuation is highly sensitive to delivery of the budget – see Sensitivity sheet and low case in section E.</t>
  </si>
  <si>
    <t xml:space="preserve">4. FCFF = EBITDA – tax on EBIT – capex – lease payments – increase in NWC. Lease payments are deducted as operating cash cost, therefore lease liabilities (3,745) are NOT deducted again as debt. Other income (274.8, largely interest) is excluded from FCFF because the related cash/investments are added at book value in the equity bridge.</t>
  </si>
  <si>
    <t xml:space="preserve">5. Incremental NWC beyond FY27 = FY27 NWC % of net revenue (≈52%, driven by ~140 receivable days + ~115 unbilled days) × revenue growth. Working capital is a major cash drag; faster collections would increase value.</t>
  </si>
  <si>
    <t xml:space="preserve">6. Terminal year: D&amp;A set equal to capex + lease payments (steady state) so that tax shield is not overstated; terminal NWC investment at growth g.</t>
  </si>
  <si>
    <t xml:space="preserve">7. Equity bridge: + cash &amp; equivalents, other bank balances (incl. lien FDs) and current investments at book; – borrowings (nil). Not adjusted for: share of loss of equity-accounted investee, non-controlling interests, contingent liabilities, tax assets/DTA, and potential haircut on lien-marked deposits (data not in workbook).</t>
  </si>
  <si>
    <t xml:space="preserve">8. Cost of equity 17.5% = Rf 6.8% + 1.1 × ERP 7.0% + 3.0% specific premium; company is debt-free so WACC = cost of equity. Rf, ERP, beta and multiples are analyst assumptions (not sourced from live market data) – refresh with current market data before relying on the output.</t>
  </si>
  <si>
    <t xml:space="preserve">9. Per-share value requires share count (input B23). Valuation date is 31-Mar-26; cash flows from FY27 discounted from that date. This is an indicative internal valuation, not a certified valuation report.</t>
  </si>
  <si>
    <t xml:space="preserve">Key Assumptions – Budget FY 2026-27 and Projection Apr-27 to Sep-27</t>
  </si>
  <si>
    <t xml:space="preserve">Parameter</t>
  </si>
  <si>
    <t xml:space="preserve">A. Revenue – FY 2026-27 Budget</t>
  </si>
  <si>
    <t xml:space="preserve">Gross revenue FY 2026-27</t>
  </si>
  <si>
    <t xml:space="preserve">Management budget (as instructed)</t>
  </si>
  <si>
    <t xml:space="preserve">Net revenue FY 2026-27</t>
  </si>
  <si>
    <t xml:space="preserve">Channel partner cost (Gross – Net)</t>
  </si>
  <si>
    <t xml:space="preserve">Formula: difference between gross and net revenue</t>
  </si>
  <si>
    <t xml:space="preserve">Channel partner cost as % of gross revenue</t>
  </si>
  <si>
    <t xml:space="preserve">Used to phase channel partner cost with monthly revenue</t>
  </si>
  <si>
    <t xml:space="preserve">Revenue mix – Products</t>
  </si>
  <si>
    <t xml:space="preserve">FY 2025-26 actual segment mix (Note 39 – Segment reporting)</t>
  </si>
  <si>
    <t xml:space="preserve">Revenue mix – Services</t>
  </si>
  <si>
    <t xml:space="preserve">Balancing</t>
  </si>
  <si>
    <t xml:space="preserve">B. Profitability target</t>
  </si>
  <si>
    <t xml:space="preserve">EBITDA (after ECL / write-offs) as % of gross revenue</t>
  </si>
  <si>
    <t xml:space="preserve">Management target (as instructed)</t>
  </si>
  <si>
    <t xml:space="preserve">Target EBITDA FY 2026-27</t>
  </si>
  <si>
    <t xml:space="preserve">Formula</t>
  </si>
  <si>
    <t xml:space="preserve">ECL provision &amp; write-offs as % of gross revenue</t>
  </si>
  <si>
    <t xml:space="preserve">Assumption – FY26 actual was 9.6% of revenue (one-off UBR/bad-debt clean-up); collections focus expected to normalise to ~3%</t>
  </si>
  <si>
    <t xml:space="preserve">ECL provision &amp; write-offs FY 2026-27</t>
  </si>
  <si>
    <t xml:space="preserve">C. Cost adjustment to achieve target EBITDA</t>
  </si>
  <si>
    <t xml:space="preserve">Permissible operating cost FY27 (Net revenue – EBITDA – ECL)</t>
  </si>
  <si>
    <t xml:space="preserve">Formula: cost envelope that delivers target EBITDA</t>
  </si>
  <si>
    <t xml:space="preserve">FY 2025-26 actual operating cost (excl. ECL / write-offs)</t>
  </si>
  <si>
    <t xml:space="preserve">Link: CoR + G&amp;A + S&amp;M per FY26 audited financials (mapped)</t>
  </si>
  <si>
    <t xml:space="preserve">Cost adjustment factor applied to each FY26 cost line</t>
  </si>
  <si>
    <t xml:space="preserve">Formula: each cost line FY27 = FY26 actual × factor (pro-rata)</t>
  </si>
  <si>
    <t xml:space="preserve">Implied change in operating cost vs FY26</t>
  </si>
  <si>
    <t xml:space="preserve">D. Below-EBITDA items</t>
  </si>
  <si>
    <t xml:space="preserve">Other income FY 2026-27</t>
  </si>
  <si>
    <t xml:space="preserve">Held at FY26 actual level</t>
  </si>
  <si>
    <t xml:space="preserve">Depreciation &amp; amortisation FY 2026-27</t>
  </si>
  <si>
    <t xml:space="preserve">Held at FY26 actual level (no major capex planned)</t>
  </si>
  <si>
    <t xml:space="preserve">Finance cost FY 2026-27</t>
  </si>
  <si>
    <t xml:space="preserve">Held at FY26 actual level (lease interest)</t>
  </si>
  <si>
    <t xml:space="preserve">Effective tax rate</t>
  </si>
  <si>
    <t xml:space="preserve">Sec 115BAA rate (22% + 10% SC + 4% cess); applied only on positive PBT</t>
  </si>
  <si>
    <t xml:space="preserve">E. Cash flow &amp; working capital</t>
  </si>
  <si>
    <t xml:space="preserve">Capital expenditure FY 2026-27</t>
  </si>
  <si>
    <t xml:space="preserve">Assumption – FY26 actual capex INR 150.9 lakhs; provision for laptops/servers</t>
  </si>
  <si>
    <t xml:space="preserve">Lease payments (principal + interest) FY 2026-27</t>
  </si>
  <si>
    <t xml:space="preserve">Held at FY26 actual (Cash flow statement, financing activities)</t>
  </si>
  <si>
    <t xml:space="preserve">Trade receivable days (on net revenue) – target</t>
  </si>
  <si>
    <t xml:space="preserve">Days</t>
  </si>
  <si>
    <t xml:space="preserve">Assumption – FY26 actual shown in Working Capital sheet (~154 days)</t>
  </si>
  <si>
    <t xml:space="preserve">Unbilled revenue (contract asset) days – target</t>
  </si>
  <si>
    <t xml:space="preserve">Assumption – FY26 actual ~124 days</t>
  </si>
  <si>
    <t xml:space="preserve">Unearned revenue as % of net revenue</t>
  </si>
  <si>
    <t xml:space="preserve">Assumption – FY26 actual ~10.2%</t>
  </si>
  <si>
    <t xml:space="preserve">Trade payable days (on non-salary costs)</t>
  </si>
  <si>
    <t xml:space="preserve">Assumption – FY26 actual ~102 days</t>
  </si>
  <si>
    <t xml:space="preserve">Opening cash &amp; cash equivalents – 1 April 2026</t>
  </si>
  <si>
    <t xml:space="preserve">Link: Balance sheet 31 March 2026 (Note 12)</t>
  </si>
  <si>
    <t xml:space="preserve">F. Projection Apr-27 to Sep-27</t>
  </si>
  <si>
    <t xml:space="preserve">Increase over FY 2026-27 on annualised basis</t>
  </si>
  <si>
    <t xml:space="preserve">As instructed – each monthly line = FY27 annual × (1 + 10%) / 12</t>
  </si>
  <si>
    <t xml:space="preserve">G. Cost-line allocation keys (for mapping FY26 audited numbers to MIS heads)</t>
  </si>
  <si>
    <t xml:space="preserve">Salaries – Direct staff (share of salaries)</t>
  </si>
  <si>
    <t xml:space="preserve">Per FY25-26 budget structure in prior-year going concern working (21,750 / 26,461)</t>
  </si>
  <si>
    <t xml:space="preserve">Salaries – Support staff (share of salaries)</t>
  </si>
  <si>
    <t xml:space="preserve">Per prior-year working (2,613 / 26,461)</t>
  </si>
  <si>
    <t xml:space="preserve">Salaries – Sales &amp; marketing (share of salaries)</t>
  </si>
  <si>
    <t xml:space="preserve">Travel – Project (share of travel)</t>
  </si>
  <si>
    <t xml:space="preserve">Per prior-year working (1,605 / 2,597)</t>
  </si>
  <si>
    <t xml:space="preserve">Travel – G&amp;A (share of travel)</t>
  </si>
  <si>
    <t xml:space="preserve">Per prior-year working (181 / 2,597)</t>
  </si>
  <si>
    <t xml:space="preserve">Travel – Sales &amp; marketing (share of travel)</t>
  </si>
  <si>
    <t xml:space="preserve">H. Sensitivity levers</t>
  </si>
  <si>
    <t xml:space="preserve">Revenue decline (stress)</t>
  </si>
  <si>
    <t xml:space="preserve">Stress test – consistent with prior-year working</t>
  </si>
  <si>
    <t xml:space="preserve">Cost increase (stress)</t>
  </si>
  <si>
    <t xml:space="preserve">I. Monthly revenue phasing FY 2026-27 (seasonality)</t>
  </si>
  <si>
    <t xml:space="preserve">Month</t>
  </si>
  <si>
    <t xml:space="preserve">Total</t>
  </si>
  <si>
    <t xml:space="preserve">Phasing % of annual revenue</t>
  </si>
  <si>
    <t xml:space="preserve">Basis: monthly seasonality of FY25-26 budget in prior-year going concern working (back-ended revenue; Q4 ~30%). Must total 100%.</t>
  </si>
  <si>
    <t xml:space="preserve">Phasing check (must be zero)</t>
  </si>
  <si>
    <t xml:space="preserve">Legend: blue text on yellow = input (editable); green = link to another sheet; black = formula.</t>
  </si>
  <si>
    <t xml:space="preserve">FY 2025-26 Audited Consolidated Financials – Source Data</t>
  </si>
  <si>
    <t xml:space="preserve">Source: Mar 26_CFS Infrasoft.xlsx (SoPL March 26, BS MARCH 26, Notes 25-32, Cash Flow, Note 39)  |  INR million converted to INR Lakhs (×10)</t>
  </si>
  <si>
    <t xml:space="preserve">Particulars</t>
  </si>
  <si>
    <t xml:space="preserve">Source reference</t>
  </si>
  <si>
    <t xml:space="preserve">FY26 (INR Mn)</t>
  </si>
  <si>
    <t xml:space="preserve">FY26 (INR Lakhs)</t>
  </si>
  <si>
    <t xml:space="preserve">FY25 (INR Mn)</t>
  </si>
  <si>
    <t xml:space="preserve">FY25 (INR Lakhs)</t>
  </si>
  <si>
    <t xml:space="preserve">Revenue from operations – Products</t>
  </si>
  <si>
    <t xml:space="preserve">Note 25 / Note 39</t>
  </si>
  <si>
    <t xml:space="preserve">Revenue from operations – Services</t>
  </si>
  <si>
    <t xml:space="preserve">Other income</t>
  </si>
  <si>
    <t xml:space="preserve">Note 26</t>
  </si>
  <si>
    <t xml:space="preserve">Salaries, wages and incentives</t>
  </si>
  <si>
    <t xml:space="preserve">Note 27</t>
  </si>
  <si>
    <t xml:space="preserve">Contribution to gratuity</t>
  </si>
  <si>
    <t xml:space="preserve">Contribution to PF and other funds</t>
  </si>
  <si>
    <t xml:space="preserve">Staff welfare expenses</t>
  </si>
  <si>
    <t xml:space="preserve">Finance costs</t>
  </si>
  <si>
    <t xml:space="preserve">Note 28</t>
  </si>
  <si>
    <t xml:space="preserve">Depreciation and amortisation</t>
  </si>
  <si>
    <t xml:space="preserve">Note 29</t>
  </si>
  <si>
    <t xml:space="preserve">Software development &amp; maintenance services</t>
  </si>
  <si>
    <t xml:space="preserve">Note 30</t>
  </si>
  <si>
    <t xml:space="preserve">Manpower cost</t>
  </si>
  <si>
    <t xml:space="preserve">Computer hardware</t>
  </si>
  <si>
    <t xml:space="preserve">Power and fuel</t>
  </si>
  <si>
    <t xml:space="preserve">Short term leases</t>
  </si>
  <si>
    <t xml:space="preserve">Repairs and maintenance – others</t>
  </si>
  <si>
    <t xml:space="preserve">Insurance</t>
  </si>
  <si>
    <t xml:space="preserve">Payments to auditors</t>
  </si>
  <si>
    <t xml:space="preserve">Travelling and conveyance</t>
  </si>
  <si>
    <t xml:space="preserve">Communication expenses</t>
  </si>
  <si>
    <t xml:space="preserve">Business promotion</t>
  </si>
  <si>
    <t xml:space="preserve">Legal and professional fees</t>
  </si>
  <si>
    <t xml:space="preserve">Directors advisory fees</t>
  </si>
  <si>
    <t xml:space="preserve">Upkeeping and maintenance</t>
  </si>
  <si>
    <t xml:space="preserve">CSR expenditure</t>
  </si>
  <si>
    <t xml:space="preserve">Computer consumables</t>
  </si>
  <si>
    <t xml:space="preserve">Impairment loss – expected credit loss</t>
  </si>
  <si>
    <t xml:space="preserve">Bad debts written off</t>
  </si>
  <si>
    <t xml:space="preserve">Unbilled revenue written off</t>
  </si>
  <si>
    <t xml:space="preserve">Deposits written off</t>
  </si>
  <si>
    <t xml:space="preserve">Loss on foreign currency transactions (net)</t>
  </si>
  <si>
    <t xml:space="preserve">Rates and taxes</t>
  </si>
  <si>
    <t xml:space="preserve">Recruitment expenses</t>
  </si>
  <si>
    <t xml:space="preserve">Miscellaneous expenses</t>
  </si>
  <si>
    <t xml:space="preserve">Share of loss of equity-accounted investee</t>
  </si>
  <si>
    <t xml:space="preserve">SoPL</t>
  </si>
  <si>
    <t xml:space="preserve">Tax expense / (credit)</t>
  </si>
  <si>
    <t xml:space="preserve">SoPL / Note 33</t>
  </si>
  <si>
    <t xml:space="preserve">Total revenue from operations</t>
  </si>
  <si>
    <t xml:space="preserve">Total other expenses (Note 30) – check vs FS 1,590.84 / 1,243.26 mn</t>
  </si>
  <si>
    <t xml:space="preserve">Revenue mix – Products (% of revenue)</t>
  </si>
  <si>
    <t xml:space="preserve">Loss before tax (after share of associate) – derived</t>
  </si>
  <si>
    <t xml:space="preserve">FS: (432.78) / 182.48 mn</t>
  </si>
  <si>
    <t xml:space="preserve">Balance sheet items – 31 March 2026</t>
  </si>
  <si>
    <t xml:space="preserve">Trade receivables (incl. unbilled dues)</t>
  </si>
  <si>
    <t xml:space="preserve">BS / Note 11</t>
  </si>
  <si>
    <t xml:space="preserve">Unbilled revenue – contract assets</t>
  </si>
  <si>
    <t xml:space="preserve">Note 25(b) / Note 15</t>
  </si>
  <si>
    <t xml:space="preserve">Unearned revenue – contract liability</t>
  </si>
  <si>
    <t xml:space="preserve">Note 25(b) / Note 22</t>
  </si>
  <si>
    <t xml:space="preserve">Trade payables (MSME + others)</t>
  </si>
  <si>
    <t xml:space="preserve">BS / Note 21</t>
  </si>
  <si>
    <t xml:space="preserve">Cash and cash equivalents</t>
  </si>
  <si>
    <t xml:space="preserve">BS / Note 12</t>
  </si>
  <si>
    <t xml:space="preserve">Other bank balances (incl. lien FDs)</t>
  </si>
  <si>
    <t xml:space="preserve">BS / Note 13</t>
  </si>
  <si>
    <t xml:space="preserve">Current investments</t>
  </si>
  <si>
    <t xml:space="preserve">BS / Note 10</t>
  </si>
  <si>
    <t xml:space="preserve">Lease liabilities (current + non-current)</t>
  </si>
  <si>
    <t xml:space="preserve">BS / Note 19</t>
  </si>
  <si>
    <t xml:space="preserve">Borrowings</t>
  </si>
  <si>
    <t xml:space="preserve">BS / Note 18</t>
  </si>
  <si>
    <t xml:space="preserve">Total equity</t>
  </si>
  <si>
    <t xml:space="preserve">BS</t>
  </si>
  <si>
    <t xml:space="preserve">Cash flow items – FY 2025-26</t>
  </si>
  <si>
    <t xml:space="preserve">Net cash from operating activities</t>
  </si>
  <si>
    <t xml:space="preserve">Cash flow statement</t>
  </si>
  <si>
    <t xml:space="preserve">Principal payment of lease obligations</t>
  </si>
  <si>
    <t xml:space="preserve">Interest paid on lease liabilities</t>
  </si>
  <si>
    <t xml:space="preserve">Purchase of property, plant and equipment</t>
  </si>
  <si>
    <t xml:space="preserve">Note: Channel partner cost for FY 2025-26 is not separately disclosed in the audited financials and is embedded in 'Software development &amp; maintenance services'. FY26 gross revenue is therefore presented equal to revenue from operations.</t>
  </si>
  <si>
    <t xml:space="preserve">Income Statement – FY26 Actual | FY 2026-27 Budget | Projection Apr-27 to Sep-27</t>
  </si>
  <si>
    <t xml:space="preserve">FY 2025-26 Actual</t>
  </si>
  <si>
    <t xml:space="preserve">% of Gross Rev</t>
  </si>
  <si>
    <t xml:space="preserve">FY 2026-27 Budget</t>
  </si>
  <si>
    <t xml:space="preserve">Var vs FY26</t>
  </si>
  <si>
    <t xml:space="preserve">Var %</t>
  </si>
  <si>
    <t xml:space="preserve">Apr-Sep 27 Total</t>
  </si>
  <si>
    <t xml:space="preserve">Annualised FY28</t>
  </si>
  <si>
    <t xml:space="preserve">Growth vs FY27</t>
  </si>
  <si>
    <t xml:space="preserve">(A) Audited  (B) Budget  (P) Projection</t>
  </si>
  <si>
    <t xml:space="preserve">(A)</t>
  </si>
  <si>
    <t xml:space="preserve">(B)</t>
  </si>
  <si>
    <t xml:space="preserve">(P)</t>
  </si>
  <si>
    <t xml:space="preserve">Revenue</t>
  </si>
  <si>
    <t xml:space="preserve">Products (Omnichannel, RegTech, Core Banking)</t>
  </si>
  <si>
    <t xml:space="preserve">Services (Digital Engg. Services)</t>
  </si>
  <si>
    <t xml:space="preserve">Gross Revenue</t>
  </si>
  <si>
    <t xml:space="preserve">Less: Channel partner cost</t>
  </si>
  <si>
    <t xml:space="preserve">Net Revenue</t>
  </si>
  <si>
    <t xml:space="preserve">Cost of Revenue</t>
  </si>
  <si>
    <t xml:space="preserve">Salaries - Direct Staff</t>
  </si>
  <si>
    <t xml:space="preserve">Retainers &amp; Contractors</t>
  </si>
  <si>
    <t xml:space="preserve">Project Travelling Cost</t>
  </si>
  <si>
    <t xml:space="preserve">Hosting &amp; Software Cost</t>
  </si>
  <si>
    <t xml:space="preserve">Hardware &amp; Database cost</t>
  </si>
  <si>
    <t xml:space="preserve">Gross Margin</t>
  </si>
  <si>
    <t xml:space="preserve">GM % (of net revenue)</t>
  </si>
  <si>
    <t xml:space="preserve">General &amp; Administration Expenses</t>
  </si>
  <si>
    <t xml:space="preserve">Salaries - Support Staff</t>
  </si>
  <si>
    <t xml:space="preserve">Staff Welfare</t>
  </si>
  <si>
    <t xml:space="preserve">Recruitment &amp; Training</t>
  </si>
  <si>
    <t xml:space="preserve">Travelling &amp; Visa Expenses</t>
  </si>
  <si>
    <t xml:space="preserve">Legal &amp; Professional (incl. audit, directors' fees)</t>
  </si>
  <si>
    <t xml:space="preserve">Software &amp; Technology cost</t>
  </si>
  <si>
    <t xml:space="preserve">Other Establishment &amp; Support O/H</t>
  </si>
  <si>
    <t xml:space="preserve">% to gross revenue</t>
  </si>
  <si>
    <t xml:space="preserve">Sales &amp; Marketing Expenses</t>
  </si>
  <si>
    <t xml:space="preserve">Salaries - Sales &amp; Marketing</t>
  </si>
  <si>
    <t xml:space="preserve">Selling &amp; Marketing exp (business promotion)</t>
  </si>
  <si>
    <t xml:space="preserve">Travelling exp</t>
  </si>
  <si>
    <t xml:space="preserve">EBITDA</t>
  </si>
  <si>
    <t xml:space="preserve">Total operating cost (CoR + G&amp;A + S&amp;M)</t>
  </si>
  <si>
    <t xml:space="preserve">EBITDA before w/off</t>
  </si>
  <si>
    <t xml:space="preserve">EBITDA % (before w/off) – of gross revenue</t>
  </si>
  <si>
    <t xml:space="preserve">ECL Provision, Bad debts &amp; UBR write-off</t>
  </si>
  <si>
    <t xml:space="preserve">EBITDA after w/off</t>
  </si>
  <si>
    <t xml:space="preserve">EBITDA % (after w/off) – of gross revenue</t>
  </si>
  <si>
    <t xml:space="preserve">Check: FY27 EBITDA vs 12% target (should be zero)</t>
  </si>
  <si>
    <t xml:space="preserve">Below EBITDA</t>
  </si>
  <si>
    <t xml:space="preserve">Depreciation &amp; amortisation</t>
  </si>
  <si>
    <t xml:space="preserve">Finance cost</t>
  </si>
  <si>
    <t xml:space="preserve">PAT % of gross revenue</t>
  </si>
  <si>
    <t xml:space="preserve">Reconciliation checks</t>
  </si>
  <si>
    <t xml:space="preserve">FY26 PBT vs audited FS (INR (4,327.8) lakhs) – difference</t>
  </si>
  <si>
    <t xml:space="preserve">FY27 net revenue vs budget input – difference</t>
  </si>
  <si>
    <t xml:space="preserve">Apr-Sep 27 gross revenue vs FY27 × 110% × 6/12 – difference</t>
  </si>
  <si>
    <t xml:space="preserve">Notes:</t>
  </si>
  <si>
    <t xml:space="preserve">1. FY 2025-26 actuals are the audited consolidated numbers mapped to MIS heads; salaries and travel are allocated using the keys in Assumptions (section G).</t>
  </si>
  <si>
    <t xml:space="preserve">2. FY 2026-27: gross revenue INR 44,500 lakhs and net revenue INR 43,200 lakhs; the INR 1,300 lakhs difference is channel partner cost.</t>
  </si>
  <si>
    <t xml:space="preserve">3. Every FY27 operating cost line = FY26 actual × the cost adjustment factor (Assumptions B23), so that EBITDA after ECL/write-offs = 12% of gross revenue.</t>
  </si>
  <si>
    <t xml:space="preserve">4. Revenue is phased by month using the seasonality in Assumptions row 58; operating costs and ECL are spread evenly over the months.</t>
  </si>
  <si>
    <t xml:space="preserve">5. Apr-27 to Sep-27: each month = FY27 annual × 110% / 12 (a 10% increase on an annualised basis). Tax is at 25.17% on positive PBT.</t>
  </si>
  <si>
    <t xml:space="preserve">Projected Working Capital – Days Basis</t>
  </si>
  <si>
    <t xml:space="preserve">31-Mar-26 Actual</t>
  </si>
  <si>
    <t xml:space="preserve">FY26 Actual Days / %</t>
  </si>
  <si>
    <t xml:space="preserve">Target Days / %</t>
  </si>
  <si>
    <t xml:space="preserve">Basis amount FY27</t>
  </si>
  <si>
    <t xml:space="preserve">31-Mar-27 Budget</t>
  </si>
  <si>
    <t xml:space="preserve">Change FY27 (cash impact)</t>
  </si>
  <si>
    <t xml:space="preserve">Monthly impact Apr-26 to Mar-27</t>
  </si>
  <si>
    <t xml:space="preserve">Basis amount FY28 (annualised)</t>
  </si>
  <si>
    <t xml:space="preserve">30-Sep-27 Projected</t>
  </si>
  <si>
    <t xml:space="preserve">Change Apr-Sep 27 (cash impact)</t>
  </si>
  <si>
    <t xml:space="preserve">Monthly impact Apr-27 to Sep-27</t>
  </si>
  <si>
    <t xml:space="preserve">Basis amounts</t>
  </si>
  <si>
    <t xml:space="preserve">Non-salary costs (opex excl. salaries &amp; welfare + channel partner cost)</t>
  </si>
  <si>
    <t xml:space="preserve">Working capital items</t>
  </si>
  <si>
    <t xml:space="preserve">Trade receivables</t>
  </si>
  <si>
    <t xml:space="preserve">Unbilled revenue (contract assets)</t>
  </si>
  <si>
    <t xml:space="preserve">Unearned revenue (contract liability)</t>
  </si>
  <si>
    <t xml:space="preserve">Trade payables</t>
  </si>
  <si>
    <t xml:space="preserve">Net working capital cash impact</t>
  </si>
  <si>
    <t xml:space="preserve">Positive = cash inflow; negative = cash outflow. The change in each balance is spread evenly across the months (consistent with the prior-year working). Balances at 30-Sep-27 are based on annualised Apr-Sep 27 volumes.</t>
  </si>
  <si>
    <t xml:space="preserve">Month-on-Month Cash Flow – April 2026 to September 2027 (12 months from date of approval of FS: 25-Sep-2026)</t>
  </si>
  <si>
    <t xml:space="preserve">FY 2026-27</t>
  </si>
  <si>
    <t xml:space="preserve">Apr-Sep 27</t>
  </si>
  <si>
    <t xml:space="preserve">18 months</t>
  </si>
  <si>
    <t xml:space="preserve">Opening cash and cash equivalents</t>
  </si>
  <si>
    <t xml:space="preserve">Add: EBITDA (after ECL / write-offs)</t>
  </si>
  <si>
    <t xml:space="preserve">Add: Other income</t>
  </si>
  <si>
    <t xml:space="preserve">Adjustments for changes in working capital</t>
  </si>
  <si>
    <t xml:space="preserve">(Increase) / decrease in Trade receivables</t>
  </si>
  <si>
    <t xml:space="preserve">(Increase) / decrease in Unbilled revenue</t>
  </si>
  <si>
    <t xml:space="preserve">Increase / (decrease) in Unearned revenue</t>
  </si>
  <si>
    <t xml:space="preserve">Increase / (decrease) in Trade payables</t>
  </si>
  <si>
    <t xml:space="preserve">Net cash generated from operations</t>
  </si>
  <si>
    <t xml:space="preserve">Less: Income taxes paid</t>
  </si>
  <si>
    <t xml:space="preserve">Cash inflow / (outflow) from operating activities [A]</t>
  </si>
  <si>
    <t xml:space="preserve">Cash inflow / (outflow) from investing activities [B]</t>
  </si>
  <si>
    <t xml:space="preserve">Less: Dividend paid</t>
  </si>
  <si>
    <t xml:space="preserve">Cash inflow / (outflow) from financing activities [C]</t>
  </si>
  <si>
    <t xml:space="preserve">Net cash inflow / (outflow) for the month [A + B + C]</t>
  </si>
  <si>
    <t xml:space="preserve">Closing cash and cash equivalents</t>
  </si>
  <si>
    <t xml:space="preserve">Key going-concern indicators</t>
  </si>
  <si>
    <t xml:space="preserve">Minimum month-end cash balance over 18 months</t>
  </si>
  <si>
    <t xml:space="preserve">Month of minimum cash balance</t>
  </si>
  <si>
    <t xml:space="preserve">Number of months with negative closing cash</t>
  </si>
  <si>
    <t xml:space="preserve">Average monthly cash outflow (opex + ECL + lease + tax, FY27)</t>
  </si>
  <si>
    <t xml:space="preserve">Cash cover at 31-Mar-26 (months of outflows)</t>
  </si>
  <si>
    <t xml:space="preserve">Net cash generated over 18 months</t>
  </si>
  <si>
    <t xml:space="preserve">Note: Opening cash excludes lien-marked fixed deposits and current investments (INR 1,470 lakhs at 31-Mar-26), which provide additional headroom. Undrawn overdraft limits are not considered.</t>
  </si>
  <si>
    <t xml:space="preserve">Sensitivity Analysis – FY 2026-27</t>
  </si>
  <si>
    <t xml:space="preserve">Base Budget</t>
  </si>
  <si>
    <t xml:space="preserve">Revenue decline</t>
  </si>
  <si>
    <t xml:space="preserve">Cost increase</t>
  </si>
  <si>
    <t xml:space="preserve">Combined stress</t>
  </si>
  <si>
    <t xml:space="preserve">Stress applied</t>
  </si>
  <si>
    <t xml:space="preserve">-</t>
  </si>
  <si>
    <t xml:space="preserve">Both</t>
  </si>
  <si>
    <t xml:space="preserve">EBITDA (after w/off)</t>
  </si>
  <si>
    <t xml:space="preserve">Less: Depreciation &amp; amortisation</t>
  </si>
  <si>
    <t xml:space="preserve">Less: Finance cost</t>
  </si>
  <si>
    <t xml:space="preserve">Profit before tax</t>
  </si>
  <si>
    <t xml:space="preserve">Tax</t>
  </si>
  <si>
    <t xml:space="preserve">Profit after tax</t>
  </si>
  <si>
    <t xml:space="preserve">Add: D&amp;A and finance cost (lease interest paid within lease payments)</t>
  </si>
  <si>
    <t xml:space="preserve">Add / (Less): Working capital changes</t>
  </si>
  <si>
    <t xml:space="preserve">Less: Capex</t>
  </si>
  <si>
    <t xml:space="preserve">Less: Lease payments</t>
  </si>
  <si>
    <t xml:space="preserve">Free cash flow FY 2026-27</t>
  </si>
  <si>
    <t xml:space="preserve">Opening cash 1-Apr-26</t>
  </si>
  <si>
    <t xml:space="preserve">Closing cash 31-Mar-27</t>
  </si>
  <si>
    <t xml:space="preserve">Headroom vs base closing cash (%)</t>
  </si>
  <si>
    <t xml:space="preserve">Check: base closing cash vs Global Cashflow (should be zero)</t>
  </si>
  <si>
    <t xml:space="preserve">Break-even analysis</t>
  </si>
  <si>
    <t xml:space="preserve">Revenue decline that reduces FY27 EBITDA to nil (costs held constant)</t>
  </si>
  <si>
    <t xml:space="preserve">Revenue decline that exhausts cash by 31-Mar-27 (approx., costs constant)</t>
  </si>
  <si>
    <t xml:space="preserve">Working capital change held at base budget in all scenarios. Tax recomputed on stressed PBT. Break-even ignores tax shield and working-capital release on lower revenue (conservative).</t>
  </si>
  <si>
    <t xml:space="preserve">Year-on-Year Trend – Revenue and EBITDA (Consolidated)</t>
  </si>
  <si>
    <t xml:space="preserve">FY 2023-24 (A)</t>
  </si>
  <si>
    <t xml:space="preserve">FY 2024-25 (A)</t>
  </si>
  <si>
    <t xml:space="preserve">FY 2027-28 (P, annualised H1)</t>
  </si>
  <si>
    <t xml:space="preserve">Revenue from operations (net revenue)</t>
  </si>
  <si>
    <t xml:space="preserve">Revenue growth %</t>
  </si>
  <si>
    <t xml:space="preserve">EBITDA after ECL / write-offs (excl. other income)</t>
  </si>
  <si>
    <t xml:space="preserve">EBITDA margin % (on revenue from operations)</t>
  </si>
  <si>
    <t xml:space="preserve">EBITDA growth %</t>
  </si>
  <si>
    <t xml:space="preserve">n/a</t>
  </si>
  <si>
    <t xml:space="preserve">1. FY 2023-24 figures are from the prior-year going concern working (YoY Trend sheet). FY 2024-25 and FY 2025-26 are from audited consolidated FS (FY25 as comparatives in the FY26 FS).</t>
  </si>
  <si>
    <t xml:space="preserve">2. FY 2025-26 EBITDA was hit by a one-time clean-up of receivables: ECL, bad-debt and unbilled revenue write-offs of about INR 3,647 lakhs. Before these, EBITDA was positive.</t>
  </si>
  <si>
    <t xml:space="preserve">3. FY 2026-27 budget: net revenue grows about 14% on FY26, and operating costs are held broadly flat through the cost adjustment. This gives EBITDA of 12% of gross revenue.</t>
  </si>
  <si>
    <t xml:space="preserve">4. For FY 2027-28, Apr-Sep 27 is projected at a 10% annualised increase on FY 2026-27.</t>
  </si>
</sst>
</file>

<file path=xl/styles.xml><?xml version="1.0" encoding="utf-8"?>
<styleSheet xmlns="http://schemas.openxmlformats.org/spreadsheetml/2006/main">
  <numFmts count="16">
    <numFmt numFmtId="164" formatCode="General"/>
    <numFmt numFmtId="165" formatCode="#,##0.00;\(#,##0.00\);\-"/>
    <numFmt numFmtId="166" formatCode="0.0%;\(0.0%\);\-"/>
    <numFmt numFmtId="167" formatCode="0"/>
    <numFmt numFmtId="168" formatCode="0.0%;\(0.0%\);\-"/>
    <numFmt numFmtId="169" formatCode="0.00"/>
    <numFmt numFmtId="170" formatCode="#,##0.00"/>
    <numFmt numFmtId="171" formatCode="#,##0;\(#,##0\);\-"/>
    <numFmt numFmtId="172" formatCode="0.0"/>
    <numFmt numFmtId="173" formatCode="0.000"/>
    <numFmt numFmtId="174" formatCode="0.0\x"/>
    <numFmt numFmtId="175" formatCode="#,##0.0"/>
    <numFmt numFmtId="176" formatCode="0.0%"/>
    <numFmt numFmtId="177" formatCode="0.0000\x"/>
    <numFmt numFmtId="178" formatCode="mmm\-yy"/>
    <numFmt numFmtId="179" formatCode="0.0&quot; months&quot;"/>
  </numFmts>
  <fonts count="26">
    <font>
      <sz val="11"/>
      <color theme="1"/>
      <name val="Calibri"/>
      <family val="2"/>
      <charset val="1"/>
    </font>
    <font>
      <sz val="10"/>
      <name val="Arial"/>
      <family val="0"/>
    </font>
    <font>
      <sz val="10"/>
      <name val="Arial"/>
      <family val="0"/>
    </font>
    <font>
      <sz val="10"/>
      <name val="Arial"/>
      <family val="0"/>
    </font>
    <font>
      <i val="true"/>
      <sz val="10"/>
      <color rgb="FF595959"/>
      <name val="Arial"/>
      <family val="2"/>
      <charset val="1"/>
    </font>
    <font>
      <b val="true"/>
      <sz val="13"/>
      <color rgb="FF1F3864"/>
      <name val="Arial"/>
      <family val="2"/>
      <charset val="1"/>
    </font>
    <font>
      <b val="true"/>
      <sz val="10"/>
      <color rgb="FFFFFFFF"/>
      <name val="Arial"/>
      <family val="2"/>
      <charset val="1"/>
    </font>
    <font>
      <sz val="10"/>
      <color theme="1"/>
      <name val="Arial"/>
      <family val="2"/>
      <charset val="1"/>
    </font>
    <font>
      <sz val="10"/>
      <color rgb="FF008000"/>
      <name val="Arial"/>
      <family val="2"/>
      <charset val="1"/>
    </font>
    <font>
      <b val="true"/>
      <sz val="10"/>
      <color theme="1"/>
      <name val="Arial"/>
      <family val="2"/>
      <charset val="1"/>
    </font>
    <font>
      <b val="true"/>
      <sz val="10"/>
      <color rgb="FF008000"/>
      <name val="Arial"/>
      <family val="2"/>
      <charset val="1"/>
    </font>
    <font>
      <b val="true"/>
      <sz val="10"/>
      <name val="Arial"/>
      <family val="2"/>
      <charset val="1"/>
    </font>
    <font>
      <sz val="10"/>
      <name val="Arial"/>
      <family val="2"/>
      <charset val="1"/>
    </font>
    <font>
      <b val="true"/>
      <sz val="14"/>
      <name val="Arial"/>
      <family val="0"/>
      <charset val="1"/>
    </font>
    <font>
      <b val="true"/>
      <sz val="12"/>
      <name val="Arial"/>
      <family val="0"/>
      <charset val="1"/>
    </font>
    <font>
      <i val="true"/>
      <sz val="10"/>
      <name val="Arial"/>
      <family val="0"/>
      <charset val="1"/>
    </font>
    <font>
      <b val="true"/>
      <sz val="10"/>
      <color rgb="FFFFFFFF"/>
      <name val="Arial"/>
      <family val="0"/>
      <charset val="1"/>
    </font>
    <font>
      <sz val="10"/>
      <color rgb="FFFFFFFF"/>
      <name val="Arial"/>
      <family val="0"/>
      <charset val="1"/>
    </font>
    <font>
      <sz val="10"/>
      <name val="Arial"/>
      <family val="0"/>
      <charset val="1"/>
    </font>
    <font>
      <sz val="10"/>
      <color rgb="FF0000FF"/>
      <name val="Arial"/>
      <family val="0"/>
      <charset val="1"/>
    </font>
    <font>
      <sz val="10"/>
      <color rgb="FF008000"/>
      <name val="Arial"/>
      <family val="0"/>
      <charset val="1"/>
    </font>
    <font>
      <b val="true"/>
      <sz val="10"/>
      <name val="Arial"/>
      <family val="0"/>
      <charset val="1"/>
    </font>
    <font>
      <sz val="10"/>
      <color rgb="FF0000FF"/>
      <name val="Arial"/>
      <family val="2"/>
      <charset val="1"/>
    </font>
    <font>
      <b val="true"/>
      <sz val="10"/>
      <color rgb="FFC00000"/>
      <name val="Arial"/>
      <family val="2"/>
      <charset val="1"/>
    </font>
    <font>
      <sz val="10"/>
      <name val="Arial"/>
      <family val="2"/>
    </font>
    <font>
      <b val="true"/>
      <sz val="10"/>
      <color rgb="FF0000FF"/>
      <name val="Arial"/>
      <family val="2"/>
      <charset val="1"/>
    </font>
  </fonts>
  <fills count="7">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D9E1F2"/>
        <bgColor rgb="FFE2EFDA"/>
      </patternFill>
    </fill>
    <fill>
      <patternFill patternType="solid">
        <fgColor rgb="FFFFFF00"/>
        <bgColor rgb="FFFFFF00"/>
      </patternFill>
    </fill>
    <fill>
      <patternFill patternType="solid">
        <fgColor rgb="FFE2EFDA"/>
        <bgColor rgb="FFF2F2F2"/>
      </patternFill>
    </fill>
  </fills>
  <borders count="3">
    <border diagonalUp="false" diagonalDown="false">
      <left/>
      <right/>
      <top/>
      <bottom/>
      <diagonal/>
    </border>
    <border diagonalUp="false" diagonalDown="false">
      <left/>
      <right/>
      <top style="thin">
        <color rgb="FF808080"/>
      </top>
      <bottom/>
      <diagonal/>
    </border>
    <border diagonalUp="false" diagonalDown="false">
      <left/>
      <right/>
      <top style="thin">
        <color rgb="FF808080"/>
      </top>
      <bottom style="double">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8" fontId="19" fillId="5" borderId="0" xfId="0" applyFont="true" applyBorder="false" applyAlignment="false" applyProtection="false">
      <alignment horizontal="general" vertical="bottom" textRotation="0" wrapText="false" indent="0" shrinkToFit="false"/>
      <protection locked="true" hidden="false"/>
    </xf>
    <xf numFmtId="169" fontId="19" fillId="5" borderId="0" xfId="0" applyFont="true" applyBorder="false" applyAlignment="false" applyProtection="false">
      <alignment horizontal="general"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xf numFmtId="168" fontId="20" fillId="0" borderId="0" xfId="0" applyFont="true" applyBorder="false" applyAlignment="false" applyProtection="false">
      <alignment horizontal="general" vertical="bottom" textRotation="0" wrapText="false" indent="0" shrinkToFit="false"/>
      <protection locked="true" hidden="false"/>
    </xf>
    <xf numFmtId="168" fontId="21" fillId="6" borderId="0" xfId="0" applyFont="true" applyBorder="false" applyAlignment="false" applyProtection="false">
      <alignment horizontal="general" vertical="bottom" textRotation="0" wrapText="false" indent="0" shrinkToFit="false"/>
      <protection locked="true" hidden="false"/>
    </xf>
    <xf numFmtId="167" fontId="19" fillId="5" borderId="0" xfId="0" applyFont="true" applyBorder="false" applyAlignment="false" applyProtection="false">
      <alignment horizontal="general" vertical="bottom" textRotation="0" wrapText="false" indent="0" shrinkToFit="false"/>
      <protection locked="true" hidden="false"/>
    </xf>
    <xf numFmtId="170" fontId="19" fillId="5"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right" vertical="bottom" textRotation="0" wrapText="false" indent="0" shrinkToFit="false"/>
      <protection locked="true" hidden="false"/>
    </xf>
    <xf numFmtId="171" fontId="20" fillId="0"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72" fontId="18" fillId="0" borderId="0" xfId="0" applyFont="true" applyBorder="false" applyAlignment="false" applyProtection="false">
      <alignment horizontal="general" vertical="bottom" textRotation="0" wrapText="false" indent="0" shrinkToFit="false"/>
      <protection locked="true" hidden="false"/>
    </xf>
    <xf numFmtId="173" fontId="18" fillId="0" borderId="0" xfId="0" applyFont="true" applyBorder="false" applyAlignment="false" applyProtection="false">
      <alignment horizontal="general" vertical="bottom" textRotation="0" wrapText="false" indent="0" shrinkToFit="false"/>
      <protection locked="true" hidden="false"/>
    </xf>
    <xf numFmtId="174" fontId="18" fillId="0" borderId="0" xfId="0" applyFont="true" applyBorder="false" applyAlignment="false" applyProtection="false">
      <alignment horizontal="general" vertical="bottom" textRotation="0" wrapText="false" indent="0" shrinkToFit="false"/>
      <protection locked="true" hidden="false"/>
    </xf>
    <xf numFmtId="171" fontId="21" fillId="6" borderId="0" xfId="0" applyFont="true" applyBorder="false" applyAlignment="false" applyProtection="false">
      <alignment horizontal="general" vertical="bottom" textRotation="0" wrapText="false" indent="0" shrinkToFit="false"/>
      <protection locked="true" hidden="false"/>
    </xf>
    <xf numFmtId="175" fontId="18" fillId="0" borderId="0" xfId="0" applyFont="true" applyBorder="false" applyAlignment="false" applyProtection="false">
      <alignment horizontal="general" vertical="bottom" textRotation="0" wrapText="fals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74" fontId="19" fillId="5" borderId="0" xfId="0" applyFont="true" applyBorder="false" applyAlignment="false" applyProtection="false">
      <alignment horizontal="general" vertical="bottom" textRotation="0" wrapText="false" indent="0" shrinkToFit="false"/>
      <protection locked="true" hidden="false"/>
    </xf>
    <xf numFmtId="168" fontId="21" fillId="0" borderId="0" xfId="0" applyFont="true" applyBorder="false" applyAlignment="false" applyProtection="false">
      <alignment horizontal="general" vertical="bottom" textRotation="0" wrapText="false" indent="0" shrinkToFit="false"/>
      <protection locked="true" hidden="false"/>
    </xf>
    <xf numFmtId="175" fontId="21" fillId="6" borderId="0" xfId="0" applyFont="true" applyBorder="false" applyAlignment="false" applyProtection="false">
      <alignment horizontal="general" vertical="bottom" textRotation="0" wrapText="false" indent="0" shrinkToFit="false"/>
      <protection locked="true" hidden="false"/>
    </xf>
    <xf numFmtId="176" fontId="18" fillId="0" borderId="0" xfId="0" applyFont="true" applyBorder="false" applyAlignment="false" applyProtection="false">
      <alignment horizontal="general" vertical="bottom" textRotation="0" wrapText="false" indent="0" shrinkToFit="false"/>
      <protection locked="true" hidden="false"/>
    </xf>
    <xf numFmtId="174" fontId="20" fillId="0" borderId="0" xfId="0" applyFont="true" applyBorder="false" applyAlignment="false" applyProtection="false">
      <alignment horizontal="general" vertical="bottom" textRotation="0" wrapText="false" indent="0" shrinkToFit="false"/>
      <protection locked="true" hidden="false"/>
    </xf>
    <xf numFmtId="168" fontId="21" fillId="4"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22" fillId="5"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22" fillId="5" borderId="0" xfId="0" applyFont="true" applyBorder="false" applyAlignment="false" applyProtection="false">
      <alignment horizontal="general" vertical="bottom" textRotation="0" wrapText="false" indent="0" shrinkToFit="false"/>
      <protection locked="true" hidden="false"/>
    </xf>
    <xf numFmtId="177" fontId="12" fillId="0" borderId="0" xfId="0" applyFont="true" applyBorder="false" applyAlignment="false" applyProtection="false">
      <alignment horizontal="general" vertical="bottom" textRotation="0" wrapText="false" indent="0" shrinkToFit="false"/>
      <protection locked="true" hidden="false"/>
    </xf>
    <xf numFmtId="172" fontId="22"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8" fontId="11" fillId="0" borderId="0" xfId="0" applyFont="true" applyBorder="false" applyAlignment="false" applyProtection="false">
      <alignment horizontal="general" vertical="bottom"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8" fontId="6" fillId="2"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5" fontId="23"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5" fontId="11" fillId="0" borderId="2" xfId="0" applyFont="true" applyBorder="true" applyAlignment="false" applyProtection="false">
      <alignment horizontal="general" vertical="bottom" textRotation="0" wrapText="false" indent="0"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5" fontId="11" fillId="3" borderId="2" xfId="0" applyFont="true" applyBorder="tru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79" fontId="11"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8.71484375" defaultRowHeight="15" zeroHeight="false" outlineLevelRow="0" outlineLevelCol="0"/>
  <cols>
    <col collapsed="false" customWidth="true" hidden="false" outlineLevel="0" max="1" min="1" style="0" width="58"/>
    <col collapsed="false" customWidth="true" hidden="false" outlineLevel="0" max="5" min="2" style="0" width="16"/>
    <col collapsed="false" customWidth="true" hidden="false" outlineLevel="0" max="6" min="6" style="0" width="4"/>
  </cols>
  <sheetData>
    <row r="1" customFormat="false" ht="15" hidden="false" customHeight="false" outlineLevel="0" collapsed="false">
      <c r="A1" s="1" t="s">
        <v>0</v>
      </c>
    </row>
    <row r="2" customFormat="false" ht="16.5" hidden="false" customHeight="true" outlineLevel="0" collapsed="false">
      <c r="A2" s="2" t="s">
        <v>1</v>
      </c>
    </row>
    <row r="3" customFormat="false" ht="15" hidden="false" customHeight="false" outlineLevel="0" collapsed="false">
      <c r="A3" s="1" t="s">
        <v>2</v>
      </c>
    </row>
    <row r="5" customFormat="false" ht="25.5" hidden="false" customHeight="true" outlineLevel="0" collapsed="false">
      <c r="A5" s="3" t="s">
        <v>3</v>
      </c>
      <c r="B5" s="3" t="s">
        <v>4</v>
      </c>
      <c r="C5" s="3" t="s">
        <v>5</v>
      </c>
      <c r="D5" s="3" t="s">
        <v>6</v>
      </c>
      <c r="E5" s="3" t="s">
        <v>7</v>
      </c>
    </row>
    <row r="6" customFormat="false" ht="15" hidden="false" customHeight="false" outlineLevel="0" collapsed="false">
      <c r="A6" s="4" t="s">
        <v>8</v>
      </c>
      <c r="B6" s="5" t="n">
        <f aca="false">'Global PNL'!C11</f>
        <v>37981</v>
      </c>
      <c r="C6" s="5" t="n">
        <f aca="false">'Global PNL'!Q11</f>
        <v>44500</v>
      </c>
      <c r="D6" s="5" t="n">
        <f aca="false">'Global PNL'!AB11</f>
        <v>24475</v>
      </c>
      <c r="E6" s="6" t="n">
        <f aca="false">IF(B6=0,0,(C6-B6)/ABS(B6))</f>
        <v>0.17163845080435</v>
      </c>
    </row>
    <row r="7" customFormat="false" ht="15" hidden="false" customHeight="false" outlineLevel="0" collapsed="false">
      <c r="A7" s="4" t="s">
        <v>9</v>
      </c>
      <c r="B7" s="5" t="n">
        <f aca="false">'Global PNL'!C12</f>
        <v>0</v>
      </c>
      <c r="C7" s="5" t="n">
        <f aca="false">'Global PNL'!Q12</f>
        <v>1300</v>
      </c>
      <c r="D7" s="5" t="n">
        <f aca="false">'Global PNL'!AB12</f>
        <v>715</v>
      </c>
      <c r="E7" s="6" t="n">
        <f aca="false">IF(B7=0,0,(C7-B7)/ABS(B7))</f>
        <v>0</v>
      </c>
    </row>
    <row r="8" customFormat="false" ht="15" hidden="false" customHeight="false" outlineLevel="0" collapsed="false">
      <c r="A8" s="7" t="s">
        <v>10</v>
      </c>
      <c r="B8" s="8" t="n">
        <f aca="false">'Global PNL'!C13</f>
        <v>37981</v>
      </c>
      <c r="C8" s="8" t="n">
        <f aca="false">'Global PNL'!Q13</f>
        <v>43200</v>
      </c>
      <c r="D8" s="8" t="n">
        <f aca="false">'Global PNL'!AB13</f>
        <v>23760</v>
      </c>
      <c r="E8" s="9" t="n">
        <f aca="false">IF(B8=0,0,(C8-B8)/ABS(B8))</f>
        <v>0.137410810668492</v>
      </c>
    </row>
    <row r="9" customFormat="false" ht="15" hidden="false" customHeight="false" outlineLevel="0" collapsed="false">
      <c r="A9" s="4" t="s">
        <v>11</v>
      </c>
      <c r="B9" s="5" t="n">
        <f aca="false">'Global PNL'!C44</f>
        <v>36952.7</v>
      </c>
      <c r="C9" s="5" t="n">
        <f aca="false">'Global PNL'!Q44</f>
        <v>36525</v>
      </c>
      <c r="D9" s="5" t="n">
        <f aca="false">'Global PNL'!AB44</f>
        <v>20088.75</v>
      </c>
      <c r="E9" s="6" t="n">
        <f aca="false">IF(B9=0,0,(C9-B9)/ABS(B9))</f>
        <v>-0.0115742557377407</v>
      </c>
    </row>
    <row r="10" customFormat="false" ht="15" hidden="false" customHeight="false" outlineLevel="0" collapsed="false">
      <c r="A10" s="4" t="s">
        <v>12</v>
      </c>
      <c r="B10" s="5" t="n">
        <f aca="false">'Global PNL'!C45</f>
        <v>1028.3</v>
      </c>
      <c r="C10" s="5" t="n">
        <f aca="false">'Global PNL'!Q45</f>
        <v>6675.00000000001</v>
      </c>
      <c r="D10" s="5" t="n">
        <f aca="false">'Global PNL'!AB45</f>
        <v>3671.25</v>
      </c>
      <c r="E10" s="6" t="n">
        <f aca="false">IF(B10=0,0,(C10-B10)/ABS(B10))</f>
        <v>5.4912963143052</v>
      </c>
    </row>
    <row r="11" customFormat="false" ht="15" hidden="false" customHeight="false" outlineLevel="0" collapsed="false">
      <c r="A11" s="4" t="s">
        <v>13</v>
      </c>
      <c r="B11" s="5" t="n">
        <f aca="false">'Global PNL'!C47</f>
        <v>3647.3</v>
      </c>
      <c r="C11" s="5" t="n">
        <f aca="false">'Global PNL'!Q47</f>
        <v>1335</v>
      </c>
      <c r="D11" s="5" t="n">
        <f aca="false">'Global PNL'!AB47</f>
        <v>734.25</v>
      </c>
      <c r="E11" s="6" t="n">
        <f aca="false">IF(B11=0,0,(C11-B11)/ABS(B11))</f>
        <v>-0.633975817728183</v>
      </c>
    </row>
    <row r="12" customFormat="false" ht="15" hidden="false" customHeight="false" outlineLevel="0" collapsed="false">
      <c r="A12" s="7" t="s">
        <v>14</v>
      </c>
      <c r="B12" s="8" t="n">
        <f aca="false">'Global PNL'!C48</f>
        <v>-2619</v>
      </c>
      <c r="C12" s="8" t="n">
        <f aca="false">'Global PNL'!Q48</f>
        <v>5340.00000000001</v>
      </c>
      <c r="D12" s="8" t="n">
        <f aca="false">'Global PNL'!AB48</f>
        <v>2937</v>
      </c>
      <c r="E12" s="9" t="n">
        <f aca="false">IF(B12=0,0,(C12-B12)/ABS(B12))</f>
        <v>3.0389461626575</v>
      </c>
    </row>
    <row r="13" customFormat="false" ht="15" hidden="false" customHeight="false" outlineLevel="0" collapsed="false">
      <c r="A13" s="4" t="s">
        <v>15</v>
      </c>
      <c r="B13" s="10" t="n">
        <f aca="false">IF(B6=0,0,B12/B6)</f>
        <v>-0.0689555303967775</v>
      </c>
      <c r="C13" s="10" t="n">
        <f aca="false">IF(C6=0,0,C12/C6)</f>
        <v>0.12</v>
      </c>
      <c r="D13" s="10" t="n">
        <f aca="false">IF(D6=0,0,D12/D6)</f>
        <v>0.12</v>
      </c>
    </row>
    <row r="14" customFormat="false" ht="15" hidden="false" customHeight="false" outlineLevel="0" collapsed="false">
      <c r="A14" s="4" t="s">
        <v>16</v>
      </c>
      <c r="B14" s="5" t="n">
        <f aca="false">'Global PNL'!C57</f>
        <v>-4327.6</v>
      </c>
      <c r="C14" s="5" t="n">
        <f aca="false">'Global PNL'!Q57</f>
        <v>3895.60000000001</v>
      </c>
      <c r="D14" s="5" t="n">
        <f aca="false">'Global PNL'!AB57</f>
        <v>2142.58</v>
      </c>
      <c r="E14" s="6" t="n">
        <f aca="false">IF(B14=0,0,(C14-B14)/ABS(B14))</f>
        <v>1.90017561697015</v>
      </c>
    </row>
    <row r="15" customFormat="false" ht="15" hidden="false" customHeight="false" outlineLevel="0" collapsed="false">
      <c r="A15" s="7" t="s">
        <v>17</v>
      </c>
      <c r="B15" s="8" t="n">
        <f aca="false">'Global PNL'!C59</f>
        <v>-3351.6</v>
      </c>
      <c r="C15" s="8" t="n">
        <f aca="false">'Global PNL'!Q59</f>
        <v>2915.07748000001</v>
      </c>
      <c r="D15" s="8" t="n">
        <f aca="false">'Global PNL'!AB59</f>
        <v>1603.292614</v>
      </c>
      <c r="E15" s="9" t="n">
        <f aca="false">IF(B15=0,0,(C15-B15)/ABS(B15))</f>
        <v>1.86975697577277</v>
      </c>
    </row>
    <row r="17" customFormat="false" ht="15" hidden="false" customHeight="false" outlineLevel="0" collapsed="false">
      <c r="A17" s="11" t="s">
        <v>18</v>
      </c>
      <c r="B17" s="12"/>
      <c r="C17" s="12"/>
      <c r="D17" s="12"/>
      <c r="E17" s="12"/>
    </row>
    <row r="18" customFormat="false" ht="15" hidden="false" customHeight="false" outlineLevel="0" collapsed="false">
      <c r="A18" s="4" t="s">
        <v>19</v>
      </c>
      <c r="B18" s="5" t="n">
        <f aca="false">Assumptions!$B$39</f>
        <v>4324.9</v>
      </c>
    </row>
    <row r="19" customFormat="false" ht="15" hidden="false" customHeight="false" outlineLevel="0" collapsed="false">
      <c r="A19" s="4" t="s">
        <v>20</v>
      </c>
      <c r="B19" s="5" t="n">
        <f aca="false">'Global Cashflow'!O28</f>
        <v>6880.19491777523</v>
      </c>
    </row>
    <row r="20" customFormat="false" ht="15" hidden="false" customHeight="false" outlineLevel="0" collapsed="false">
      <c r="A20" s="4" t="s">
        <v>21</v>
      </c>
      <c r="B20" s="5" t="n">
        <f aca="false">'Global Cashflow'!V28</f>
        <v>6525.52927555275</v>
      </c>
    </row>
    <row r="21" customFormat="false" ht="15" hidden="false" customHeight="false" outlineLevel="0" collapsed="false">
      <c r="A21" s="4" t="s">
        <v>22</v>
      </c>
      <c r="B21" s="5" t="n">
        <f aca="false">'Global Cashflow'!C31</f>
        <v>1749.28621573968</v>
      </c>
    </row>
    <row r="22" customFormat="false" ht="15" hidden="false" customHeight="false" outlineLevel="0" collapsed="false">
      <c r="A22" s="4" t="s">
        <v>23</v>
      </c>
      <c r="B22" s="13" t="n">
        <f aca="false">'Global Cashflow'!C33</f>
        <v>0</v>
      </c>
    </row>
    <row r="23" customFormat="false" ht="15" hidden="false" customHeight="false" outlineLevel="0" collapsed="false">
      <c r="A23" s="4" t="s">
        <v>24</v>
      </c>
      <c r="B23" s="5" t="n">
        <f aca="false">'FY26 Actual'!D56</f>
        <v>0</v>
      </c>
    </row>
    <row r="24" customFormat="false" ht="15" hidden="false" customHeight="false" outlineLevel="0" collapsed="false">
      <c r="A24" s="4" t="s">
        <v>25</v>
      </c>
      <c r="B24" s="5" t="n">
        <f aca="false">Sensitivity!E26</f>
        <v>4767.18279277524</v>
      </c>
    </row>
    <row r="25" customFormat="false" ht="15" hidden="false" customHeight="false" outlineLevel="0" collapsed="false">
      <c r="A25" s="4" t="s">
        <v>26</v>
      </c>
      <c r="B25" s="14" t="n">
        <f aca="false">Sensitivity!B30</f>
        <v>0.127552848441419</v>
      </c>
    </row>
    <row r="27" customFormat="false" ht="15" hidden="false" customHeight="false" outlineLevel="0" collapsed="false">
      <c r="A27" s="11" t="s">
        <v>27</v>
      </c>
      <c r="B27" s="12"/>
      <c r="C27" s="12"/>
      <c r="D27" s="12"/>
      <c r="E27" s="12"/>
    </row>
    <row r="28" customFormat="false" ht="15" hidden="false" customHeight="false" outlineLevel="0" collapsed="false">
      <c r="A28" s="4" t="s">
        <v>28</v>
      </c>
      <c r="B28" s="15" t="str">
        <f aca="false">IF(ABS('Global PNL'!Q50)&lt;0.01,"Yes","No")</f>
        <v>Yes</v>
      </c>
    </row>
    <row r="29" customFormat="false" ht="15" hidden="false" customHeight="false" outlineLevel="0" collapsed="false">
      <c r="A29" s="4" t="s">
        <v>29</v>
      </c>
      <c r="B29" s="15" t="str">
        <f aca="false">IF('FY26 Actual'!D57&gt;0,"Yes","No")</f>
        <v>Yes</v>
      </c>
    </row>
    <row r="30" customFormat="false" ht="15" hidden="false" customHeight="false" outlineLevel="0" collapsed="false">
      <c r="A30" s="4" t="s">
        <v>30</v>
      </c>
      <c r="B30" s="15" t="str">
        <f aca="false">IF(B22=0,"Yes","No")</f>
        <v>Yes</v>
      </c>
    </row>
    <row r="31" customFormat="false" ht="15" hidden="false" customHeight="false" outlineLevel="0" collapsed="false">
      <c r="A31" s="4" t="s">
        <v>31</v>
      </c>
      <c r="B31" s="15" t="str">
        <f aca="false">IF(B24&gt;0,"Yes","No")</f>
        <v>Yes</v>
      </c>
    </row>
    <row r="32" customFormat="false" ht="15" hidden="false" customHeight="false" outlineLevel="0" collapsed="false">
      <c r="A32" s="4" t="s">
        <v>32</v>
      </c>
      <c r="B32" s="15" t="str">
        <f aca="false">IF(B23=0,"Yes","No")</f>
        <v>Yes</v>
      </c>
    </row>
    <row r="34" customFormat="false" ht="15" hidden="false" customHeight="false" outlineLevel="0" collapsed="false">
      <c r="A34" s="11" t="s">
        <v>33</v>
      </c>
      <c r="B34" s="12"/>
      <c r="C34" s="12"/>
      <c r="D34" s="12"/>
      <c r="E34" s="12"/>
    </row>
    <row r="35" customFormat="false" ht="42" hidden="false" customHeight="true" outlineLevel="0" collapsed="false">
      <c r="A35" s="16" t="s">
        <v>34</v>
      </c>
      <c r="B35" s="16"/>
      <c r="C35" s="16"/>
      <c r="D35" s="16"/>
      <c r="E35" s="16"/>
    </row>
    <row r="36" customFormat="false" ht="42" hidden="false" customHeight="true" outlineLevel="0" collapsed="false">
      <c r="A36" s="16" t="s">
        <v>35</v>
      </c>
      <c r="B36" s="16"/>
      <c r="C36" s="16"/>
      <c r="D36" s="16"/>
      <c r="E36" s="16"/>
    </row>
    <row r="37" customFormat="false" ht="42" hidden="false" customHeight="true" outlineLevel="0" collapsed="false">
      <c r="A37" s="16" t="s">
        <v>36</v>
      </c>
      <c r="B37" s="16"/>
      <c r="C37" s="16"/>
      <c r="D37" s="16"/>
      <c r="E37" s="16"/>
    </row>
    <row r="38" customFormat="false" ht="42" hidden="false" customHeight="true" outlineLevel="0" collapsed="false">
      <c r="A38" s="16" t="s">
        <v>37</v>
      </c>
      <c r="B38" s="16"/>
      <c r="C38" s="16"/>
      <c r="D38" s="16"/>
      <c r="E38" s="16"/>
    </row>
    <row r="39" customFormat="false" ht="42" hidden="false" customHeight="true" outlineLevel="0" collapsed="false">
      <c r="A39" s="16" t="s">
        <v>38</v>
      </c>
      <c r="B39" s="16"/>
      <c r="C39" s="16"/>
      <c r="D39" s="16"/>
      <c r="E39" s="16"/>
    </row>
  </sheetData>
  <mergeCells count="5">
    <mergeCell ref="A35:E35"/>
    <mergeCell ref="A36:E36"/>
    <mergeCell ref="A37:E37"/>
    <mergeCell ref="A38:E38"/>
    <mergeCell ref="A39:E3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8" min="2" style="0" width="15"/>
    <col collapsed="false" customWidth="true" hidden="false" outlineLevel="0" max="9" min="9" style="0" width="60"/>
  </cols>
  <sheetData>
    <row r="1" customFormat="false" ht="17.35" hidden="false" customHeight="false" outlineLevel="0" collapsed="false">
      <c r="A1" s="17" t="s">
        <v>0</v>
      </c>
    </row>
    <row r="2" customFormat="false" ht="15" hidden="false" customHeight="false" outlineLevel="0" collapsed="false">
      <c r="A2" s="18" t="s">
        <v>39</v>
      </c>
    </row>
    <row r="3" customFormat="false" ht="15" hidden="false" customHeight="false" outlineLevel="0" collapsed="false">
      <c r="A3" s="19" t="s">
        <v>40</v>
      </c>
    </row>
    <row r="5" customFormat="false" ht="15" hidden="false" customHeight="false" outlineLevel="0" collapsed="false">
      <c r="A5" s="20" t="s">
        <v>41</v>
      </c>
      <c r="B5" s="21" t="s">
        <v>42</v>
      </c>
      <c r="C5" s="21" t="s">
        <v>43</v>
      </c>
      <c r="D5" s="21" t="s">
        <v>44</v>
      </c>
      <c r="E5" s="22"/>
      <c r="F5" s="22"/>
      <c r="G5" s="22"/>
      <c r="H5" s="22"/>
    </row>
    <row r="6" customFormat="false" ht="15" hidden="false" customHeight="false" outlineLevel="0" collapsed="false">
      <c r="A6" s="23" t="s">
        <v>45</v>
      </c>
      <c r="B6" s="24" t="n">
        <v>0.068</v>
      </c>
      <c r="C6" s="23" t="s">
        <v>46</v>
      </c>
      <c r="D6" s="23" t="s">
        <v>47</v>
      </c>
    </row>
    <row r="7" customFormat="false" ht="15" hidden="false" customHeight="false" outlineLevel="0" collapsed="false">
      <c r="A7" s="23" t="s">
        <v>48</v>
      </c>
      <c r="B7" s="24" t="n">
        <v>0.07</v>
      </c>
      <c r="C7" s="23" t="s">
        <v>46</v>
      </c>
      <c r="D7" s="23" t="s">
        <v>49</v>
      </c>
    </row>
    <row r="8" customFormat="false" ht="15" hidden="false" customHeight="false" outlineLevel="0" collapsed="false">
      <c r="A8" s="23" t="s">
        <v>50</v>
      </c>
      <c r="B8" s="25" t="n">
        <v>1.1</v>
      </c>
      <c r="C8" s="23" t="s">
        <v>51</v>
      </c>
      <c r="D8" s="23" t="s">
        <v>52</v>
      </c>
    </row>
    <row r="9" customFormat="false" ht="15" hidden="false" customHeight="false" outlineLevel="0" collapsed="false">
      <c r="A9" s="23" t="s">
        <v>53</v>
      </c>
      <c r="B9" s="24" t="n">
        <v>0.03</v>
      </c>
      <c r="C9" s="23" t="s">
        <v>46</v>
      </c>
      <c r="D9" s="23" t="s">
        <v>54</v>
      </c>
    </row>
    <row r="10" customFormat="false" ht="15" hidden="false" customHeight="false" outlineLevel="0" collapsed="false">
      <c r="A10" s="23" t="s">
        <v>55</v>
      </c>
      <c r="B10" s="26" t="n">
        <f aca="false">B6+B8*B7+B9</f>
        <v>0.175</v>
      </c>
      <c r="C10" s="23" t="s">
        <v>46</v>
      </c>
      <c r="D10" s="23" t="s">
        <v>56</v>
      </c>
    </row>
    <row r="11" customFormat="false" ht="15" hidden="false" customHeight="false" outlineLevel="0" collapsed="false">
      <c r="A11" s="23" t="s">
        <v>57</v>
      </c>
      <c r="B11" s="24" t="n">
        <v>0.1</v>
      </c>
      <c r="C11" s="23" t="s">
        <v>46</v>
      </c>
      <c r="D11" s="23" t="s">
        <v>58</v>
      </c>
    </row>
    <row r="12" customFormat="false" ht="15" hidden="false" customHeight="false" outlineLevel="0" collapsed="false">
      <c r="A12" s="23" t="s">
        <v>59</v>
      </c>
      <c r="B12" s="27" t="n">
        <f aca="false">Assumptions!B30</f>
        <v>0.2517</v>
      </c>
      <c r="C12" s="23" t="s">
        <v>46</v>
      </c>
      <c r="D12" s="23" t="s">
        <v>60</v>
      </c>
    </row>
    <row r="13" customFormat="false" ht="15" hidden="false" customHeight="false" outlineLevel="0" collapsed="false">
      <c r="A13" s="23" t="s">
        <v>61</v>
      </c>
      <c r="B13" s="24" t="n">
        <v>0</v>
      </c>
      <c r="C13" s="23" t="s">
        <v>46</v>
      </c>
      <c r="D13" s="23" t="s">
        <v>62</v>
      </c>
    </row>
    <row r="14" customFormat="false" ht="15" hidden="false" customHeight="false" outlineLevel="0" collapsed="false">
      <c r="A14" s="23" t="s">
        <v>63</v>
      </c>
      <c r="B14" s="28" t="n">
        <f aca="false">B10*(1-B13)+B11*(1-B12)*B13</f>
        <v>0.175</v>
      </c>
      <c r="C14" s="23" t="s">
        <v>46</v>
      </c>
      <c r="D14" s="23" t="s">
        <v>64</v>
      </c>
    </row>
    <row r="15" customFormat="false" ht="15" hidden="false" customHeight="false" outlineLevel="0" collapsed="false">
      <c r="A15" s="23" t="s">
        <v>65</v>
      </c>
      <c r="B15" s="24" t="n">
        <v>0.05</v>
      </c>
      <c r="C15" s="23" t="s">
        <v>46</v>
      </c>
      <c r="D15" s="23" t="s">
        <v>66</v>
      </c>
    </row>
    <row r="16" customFormat="false" ht="15" hidden="false" customHeight="false" outlineLevel="0" collapsed="false">
      <c r="A16" s="23" t="s">
        <v>67</v>
      </c>
      <c r="B16" s="29" t="n">
        <v>1</v>
      </c>
      <c r="C16" s="23" t="s">
        <v>68</v>
      </c>
      <c r="D16" s="23" t="s">
        <v>69</v>
      </c>
    </row>
    <row r="17" customFormat="false" ht="15" hidden="false" customHeight="false" outlineLevel="0" collapsed="false">
      <c r="A17" s="23" t="s">
        <v>70</v>
      </c>
      <c r="B17" s="27" t="n">
        <f aca="false">('Working Capital'!F12+'Working Capital'!F13-'Working Capital'!F14-'Working Capital'!F15)/'Working Capital'!E8</f>
        <v>0.517782003755203</v>
      </c>
      <c r="C17" s="23" t="s">
        <v>46</v>
      </c>
      <c r="D17" s="23" t="s">
        <v>71</v>
      </c>
    </row>
    <row r="18" customFormat="false" ht="15" hidden="false" customHeight="false" outlineLevel="0" collapsed="false">
      <c r="A18" s="23" t="s">
        <v>72</v>
      </c>
      <c r="B18" s="27" t="n">
        <f aca="false">Summary!C12/Summary!C8</f>
        <v>0.123611111111111</v>
      </c>
      <c r="C18" s="23" t="s">
        <v>46</v>
      </c>
      <c r="D18" s="23" t="s">
        <v>73</v>
      </c>
    </row>
    <row r="19" customFormat="false" ht="15" hidden="false" customHeight="false" outlineLevel="0" collapsed="false">
      <c r="A19" s="23" t="s">
        <v>74</v>
      </c>
      <c r="B19" s="27" t="n">
        <f aca="false">Assumptions!B28/Summary!C8</f>
        <v>0.0334953703703704</v>
      </c>
      <c r="C19" s="23" t="s">
        <v>46</v>
      </c>
      <c r="D19" s="23" t="s">
        <v>75</v>
      </c>
    </row>
    <row r="20" customFormat="false" ht="15" hidden="false" customHeight="false" outlineLevel="0" collapsed="false">
      <c r="A20" s="23" t="s">
        <v>76</v>
      </c>
      <c r="B20" s="27" t="n">
        <f aca="false">Assumptions!B33/Summary!C8</f>
        <v>0.00694444444444444</v>
      </c>
      <c r="C20" s="23" t="s">
        <v>46</v>
      </c>
      <c r="D20" s="23" t="s">
        <v>77</v>
      </c>
    </row>
    <row r="21" customFormat="false" ht="15" hidden="false" customHeight="false" outlineLevel="0" collapsed="false">
      <c r="A21" s="23" t="s">
        <v>78</v>
      </c>
      <c r="B21" s="27" t="n">
        <f aca="false">Assumptions!B34/Summary!C8</f>
        <v>0.0232268518518519</v>
      </c>
      <c r="C21" s="23" t="s">
        <v>46</v>
      </c>
      <c r="D21" s="23" t="s">
        <v>79</v>
      </c>
    </row>
    <row r="22" customFormat="false" ht="15" hidden="false" customHeight="false" outlineLevel="0" collapsed="false">
      <c r="A22" s="23" t="s">
        <v>80</v>
      </c>
      <c r="B22" s="26" t="n">
        <f aca="false">B18-B12*MAX(0,B18-(B20+B21))-B20-B21</f>
        <v>0.0699210134259261</v>
      </c>
      <c r="C22" s="23" t="s">
        <v>46</v>
      </c>
      <c r="D22" s="23" t="s">
        <v>81</v>
      </c>
    </row>
    <row r="23" customFormat="false" ht="15" hidden="false" customHeight="false" outlineLevel="0" collapsed="false">
      <c r="A23" s="23" t="s">
        <v>82</v>
      </c>
      <c r="B23" s="30"/>
      <c r="C23" s="23" t="s">
        <v>83</v>
      </c>
      <c r="D23" s="23" t="s">
        <v>84</v>
      </c>
    </row>
    <row r="25" customFormat="false" ht="15" hidden="false" customHeight="false" outlineLevel="0" collapsed="false">
      <c r="A25" s="20" t="s">
        <v>85</v>
      </c>
      <c r="B25" s="31" t="s">
        <v>86</v>
      </c>
      <c r="C25" s="31" t="s">
        <v>87</v>
      </c>
      <c r="D25" s="31" t="s">
        <v>88</v>
      </c>
      <c r="E25" s="31" t="s">
        <v>89</v>
      </c>
      <c r="F25" s="31" t="s">
        <v>90</v>
      </c>
      <c r="G25" s="31" t="s">
        <v>91</v>
      </c>
      <c r="H25" s="31" t="s">
        <v>92</v>
      </c>
    </row>
    <row r="26" customFormat="false" ht="15" hidden="false" customHeight="false" outlineLevel="0" collapsed="false">
      <c r="A26" s="23" t="s">
        <v>93</v>
      </c>
      <c r="C26" s="26" t="n">
        <f aca="false">C27/B27-1</f>
        <v>0.137410810668492</v>
      </c>
      <c r="D26" s="27" t="n">
        <f aca="false">Assumptions!B42</f>
        <v>0.1</v>
      </c>
      <c r="E26" s="24" t="n">
        <v>0.09</v>
      </c>
      <c r="F26" s="24" t="n">
        <v>0.08</v>
      </c>
      <c r="G26" s="24" t="n">
        <v>0.07</v>
      </c>
      <c r="H26" s="26" t="n">
        <f aca="false">B15</f>
        <v>0.05</v>
      </c>
    </row>
    <row r="27" customFormat="false" ht="15" hidden="false" customHeight="false" outlineLevel="0" collapsed="false">
      <c r="A27" s="23" t="s">
        <v>10</v>
      </c>
      <c r="B27" s="32" t="n">
        <f aca="false">Summary!B8</f>
        <v>37981</v>
      </c>
      <c r="C27" s="32" t="n">
        <f aca="false">Summary!C8</f>
        <v>43200</v>
      </c>
      <c r="D27" s="33" t="n">
        <f aca="false">C27*(1+D26)</f>
        <v>47520</v>
      </c>
      <c r="E27" s="33" t="n">
        <f aca="false">D27*(1+E26)</f>
        <v>51796.8</v>
      </c>
      <c r="F27" s="33" t="n">
        <f aca="false">E27*(1+F26)</f>
        <v>55940.544</v>
      </c>
      <c r="G27" s="33" t="n">
        <f aca="false">F27*(1+G26)</f>
        <v>59856.38208</v>
      </c>
      <c r="H27" s="33" t="n">
        <f aca="false">G27*(1+H26)</f>
        <v>62849.201184</v>
      </c>
    </row>
    <row r="28" customFormat="false" ht="15" hidden="false" customHeight="false" outlineLevel="0" collapsed="false">
      <c r="A28" s="23" t="s">
        <v>94</v>
      </c>
      <c r="B28" s="26" t="n">
        <f aca="false">B29/B27</f>
        <v>-0.0689555303967775</v>
      </c>
      <c r="C28" s="26" t="n">
        <f aca="false">$B$18</f>
        <v>0.123611111111111</v>
      </c>
      <c r="D28" s="26" t="n">
        <f aca="false">$B$18</f>
        <v>0.123611111111111</v>
      </c>
      <c r="E28" s="26" t="n">
        <f aca="false">$B$18</f>
        <v>0.123611111111111</v>
      </c>
      <c r="F28" s="26" t="n">
        <f aca="false">$B$18</f>
        <v>0.123611111111111</v>
      </c>
      <c r="G28" s="26" t="n">
        <f aca="false">$B$18</f>
        <v>0.123611111111111</v>
      </c>
      <c r="H28" s="26" t="n">
        <f aca="false">$B$18</f>
        <v>0.123611111111111</v>
      </c>
    </row>
    <row r="29" customFormat="false" ht="15" hidden="false" customHeight="false" outlineLevel="0" collapsed="false">
      <c r="A29" s="23" t="s">
        <v>95</v>
      </c>
      <c r="B29" s="32" t="n">
        <f aca="false">Summary!B12</f>
        <v>-2619</v>
      </c>
      <c r="C29" s="33" t="n">
        <f aca="false">C27*C28</f>
        <v>5340.00000000001</v>
      </c>
      <c r="D29" s="33" t="n">
        <f aca="false">D27*D28</f>
        <v>5874.00000000001</v>
      </c>
      <c r="E29" s="33" t="n">
        <f aca="false">E27*E28</f>
        <v>6402.66000000001</v>
      </c>
      <c r="F29" s="33" t="n">
        <f aca="false">F27*F28</f>
        <v>6914.87280000001</v>
      </c>
      <c r="G29" s="33" t="n">
        <f aca="false">G27*G28</f>
        <v>7398.91389600001</v>
      </c>
      <c r="H29" s="33" t="n">
        <f aca="false">H27*H28</f>
        <v>7768.85959080001</v>
      </c>
    </row>
    <row r="30" customFormat="false" ht="15" hidden="false" customHeight="false" outlineLevel="0" collapsed="false">
      <c r="A30" s="23" t="s">
        <v>96</v>
      </c>
      <c r="C30" s="33" t="n">
        <f aca="false">-C27*$B$19</f>
        <v>-1447</v>
      </c>
      <c r="D30" s="33" t="n">
        <f aca="false">-D27*$B$19</f>
        <v>-1591.7</v>
      </c>
      <c r="E30" s="33" t="n">
        <f aca="false">-E27*$B$19</f>
        <v>-1734.953</v>
      </c>
      <c r="F30" s="33" t="n">
        <f aca="false">-F27*$B$19</f>
        <v>-1873.74924</v>
      </c>
      <c r="G30" s="33" t="n">
        <f aca="false">-G27*$B$19</f>
        <v>-2004.9116868</v>
      </c>
      <c r="H30" s="33" t="n">
        <f aca="false">-H27*($B$20+$B$21)</f>
        <v>-1896.241870908</v>
      </c>
    </row>
    <row r="31" customFormat="false" ht="15" hidden="false" customHeight="false" outlineLevel="0" collapsed="false">
      <c r="A31" s="23" t="s">
        <v>97</v>
      </c>
      <c r="C31" s="33" t="n">
        <f aca="false">C29+C30</f>
        <v>3893.00000000001</v>
      </c>
      <c r="D31" s="33" t="n">
        <f aca="false">D29+D30</f>
        <v>4282.30000000001</v>
      </c>
      <c r="E31" s="33" t="n">
        <f aca="false">E29+E30</f>
        <v>4667.70700000001</v>
      </c>
      <c r="F31" s="33" t="n">
        <f aca="false">F29+F30</f>
        <v>5041.12356000001</v>
      </c>
      <c r="G31" s="33" t="n">
        <f aca="false">G29+G30</f>
        <v>5394.00220920001</v>
      </c>
      <c r="H31" s="33" t="n">
        <f aca="false">H29+H30</f>
        <v>5872.61771989201</v>
      </c>
    </row>
    <row r="32" customFormat="false" ht="15" hidden="false" customHeight="false" outlineLevel="0" collapsed="false">
      <c r="A32" s="23" t="s">
        <v>98</v>
      </c>
      <c r="C32" s="33" t="n">
        <f aca="false">-MAX(0,C31)*$B$12</f>
        <v>-979.868100000002</v>
      </c>
      <c r="D32" s="33" t="n">
        <f aca="false">-MAX(0,D31)*$B$12</f>
        <v>-1077.85491</v>
      </c>
      <c r="E32" s="33" t="n">
        <f aca="false">-MAX(0,E31)*$B$12</f>
        <v>-1174.8618519</v>
      </c>
      <c r="F32" s="33" t="n">
        <f aca="false">-MAX(0,F31)*$B$12</f>
        <v>-1268.850800052</v>
      </c>
      <c r="G32" s="33" t="n">
        <f aca="false">-MAX(0,G31)*$B$12</f>
        <v>-1357.67035605564</v>
      </c>
      <c r="H32" s="33" t="n">
        <f aca="false">-MAX(0,H31)*$B$12</f>
        <v>-1478.13788009682</v>
      </c>
    </row>
    <row r="33" customFormat="false" ht="15" hidden="false" customHeight="false" outlineLevel="0" collapsed="false">
      <c r="A33" s="23" t="s">
        <v>99</v>
      </c>
      <c r="C33" s="33" t="n">
        <f aca="false">-C27*$B$20</f>
        <v>-300</v>
      </c>
      <c r="D33" s="33" t="n">
        <f aca="false">-D27*$B$20</f>
        <v>-330</v>
      </c>
      <c r="E33" s="33" t="n">
        <f aca="false">-E27*$B$20</f>
        <v>-359.7</v>
      </c>
      <c r="F33" s="33" t="n">
        <f aca="false">-F27*$B$20</f>
        <v>-388.476</v>
      </c>
      <c r="G33" s="33" t="n">
        <f aca="false">-G27*$B$20</f>
        <v>-415.66932</v>
      </c>
      <c r="H33" s="33" t="n">
        <f aca="false">-H27*$B$20</f>
        <v>-436.452786</v>
      </c>
    </row>
    <row r="34" customFormat="false" ht="15" hidden="false" customHeight="false" outlineLevel="0" collapsed="false">
      <c r="A34" s="23" t="s">
        <v>100</v>
      </c>
      <c r="C34" s="33" t="n">
        <f aca="false">-C27*$B$21</f>
        <v>-1003.4</v>
      </c>
      <c r="D34" s="33" t="n">
        <f aca="false">-D27*$B$21</f>
        <v>-1103.74</v>
      </c>
      <c r="E34" s="33" t="n">
        <f aca="false">-E27*$B$21</f>
        <v>-1203.0766</v>
      </c>
      <c r="F34" s="33" t="n">
        <f aca="false">-F27*$B$21</f>
        <v>-1299.322728</v>
      </c>
      <c r="G34" s="33" t="n">
        <f aca="false">-G27*$B$21</f>
        <v>-1390.27531896</v>
      </c>
      <c r="H34" s="33" t="n">
        <f aca="false">-H27*$B$21</f>
        <v>-1459.789084908</v>
      </c>
    </row>
    <row r="35" customFormat="false" ht="15" hidden="false" customHeight="false" outlineLevel="0" collapsed="false">
      <c r="A35" s="23" t="s">
        <v>101</v>
      </c>
      <c r="C35" s="32" t="n">
        <f aca="false">'Working Capital'!G16</f>
        <v>-775.582562224771</v>
      </c>
      <c r="D35" s="33" t="n">
        <f aca="false">-$B$17*(D27-C27)</f>
        <v>-2236.81825622248</v>
      </c>
      <c r="E35" s="33" t="n">
        <f aca="false">-$B$17*(E27-D27)</f>
        <v>-2214.45007366025</v>
      </c>
      <c r="F35" s="33" t="n">
        <f aca="false">-$B$17*(F27-E27)</f>
        <v>-2145.5560713686</v>
      </c>
      <c r="G35" s="33" t="n">
        <f aca="false">-$B$17*(G27-F27)</f>
        <v>-2027.55048744333</v>
      </c>
      <c r="H35" s="33" t="n">
        <f aca="false">-$B$17*(H27-G27)</f>
        <v>-1549.62787254597</v>
      </c>
    </row>
    <row r="36" customFormat="false" ht="15" hidden="false" customHeight="false" outlineLevel="0" collapsed="false">
      <c r="A36" s="34" t="s">
        <v>102</v>
      </c>
      <c r="C36" s="35" t="n">
        <f aca="false">C29+C32+C33+C34+C35</f>
        <v>2281.14933777524</v>
      </c>
      <c r="D36" s="35" t="n">
        <f aca="false">D29+D32+D33+D34+D35</f>
        <v>1125.58683377753</v>
      </c>
      <c r="E36" s="35" t="n">
        <f aca="false">E29+E32+E33+E34+E35</f>
        <v>1450.57147443975</v>
      </c>
      <c r="F36" s="35" t="n">
        <f aca="false">F29+F32+F33+F34+F35</f>
        <v>1812.66720057941</v>
      </c>
      <c r="G36" s="35" t="n">
        <f aca="false">G29+G32+G33+G34+G35</f>
        <v>2207.74841354104</v>
      </c>
      <c r="H36" s="35" t="n">
        <f aca="false">H29+H32+H33+H34+H35</f>
        <v>2844.85196724922</v>
      </c>
    </row>
    <row r="37" customFormat="false" ht="15" hidden="false" customHeight="false" outlineLevel="0" collapsed="false">
      <c r="A37" s="23" t="s">
        <v>103</v>
      </c>
      <c r="C37" s="36" t="n">
        <f aca="false">1-0.5*$B$16</f>
        <v>0.5</v>
      </c>
      <c r="D37" s="36" t="n">
        <f aca="false">C37+1</f>
        <v>1.5</v>
      </c>
      <c r="E37" s="36" t="n">
        <f aca="false">D37+1</f>
        <v>2.5</v>
      </c>
      <c r="F37" s="36" t="n">
        <f aca="false">E37+1</f>
        <v>3.5</v>
      </c>
      <c r="G37" s="36" t="n">
        <f aca="false">F37+1</f>
        <v>4.5</v>
      </c>
    </row>
    <row r="38" customFormat="false" ht="15" hidden="false" customHeight="false" outlineLevel="0" collapsed="false">
      <c r="A38" s="23" t="s">
        <v>104</v>
      </c>
      <c r="C38" s="37" t="n">
        <f aca="false">1/(1+$B$14)^C37</f>
        <v>0.922531208028885</v>
      </c>
      <c r="D38" s="37" t="n">
        <f aca="false">1/(1+$B$14)^D37</f>
        <v>0.785132943003306</v>
      </c>
      <c r="E38" s="37" t="n">
        <f aca="false">1/(1+$B$14)^E37</f>
        <v>0.668198249364516</v>
      </c>
      <c r="F38" s="37" t="n">
        <f aca="false">1/(1+$B$14)^F37</f>
        <v>0.56867936116129</v>
      </c>
      <c r="G38" s="37" t="n">
        <f aca="false">1/(1+$B$14)^G37</f>
        <v>0.483982435030885</v>
      </c>
    </row>
    <row r="39" customFormat="false" ht="15" hidden="false" customHeight="false" outlineLevel="0" collapsed="false">
      <c r="A39" s="34" t="s">
        <v>105</v>
      </c>
      <c r="C39" s="35" t="n">
        <f aca="false">C36*C38</f>
        <v>2104.43145427208</v>
      </c>
      <c r="D39" s="35" t="n">
        <f aca="false">D36*D38</f>
        <v>883.735303409523</v>
      </c>
      <c r="E39" s="35" t="n">
        <f aca="false">E36*E38</f>
        <v>969.269319798749</v>
      </c>
      <c r="F39" s="35" t="n">
        <f aca="false">F36*F38</f>
        <v>1030.82642562352</v>
      </c>
      <c r="G39" s="35" t="n">
        <f aca="false">G36*G38</f>
        <v>1068.51145312117</v>
      </c>
    </row>
    <row r="40" customFormat="false" ht="15" hidden="false" customHeight="false" outlineLevel="0" collapsed="false">
      <c r="A40" s="23" t="s">
        <v>106</v>
      </c>
      <c r="C40" s="32" t="n">
        <f aca="false">ROUND(C29-Summary!C12,2)</f>
        <v>0</v>
      </c>
    </row>
    <row r="41" customFormat="false" ht="15" hidden="false" customHeight="false" outlineLevel="0" collapsed="false">
      <c r="A41" s="23" t="s">
        <v>107</v>
      </c>
      <c r="H41" s="33" t="n">
        <f aca="false">ROUND(H36-(H27*B22-B17*G27*H26),2)</f>
        <v>0</v>
      </c>
    </row>
    <row r="43" customFormat="false" ht="15" hidden="false" customHeight="false" outlineLevel="0" collapsed="false">
      <c r="A43" s="20" t="s">
        <v>108</v>
      </c>
      <c r="B43" s="22"/>
      <c r="C43" s="22"/>
      <c r="D43" s="22"/>
      <c r="E43" s="22"/>
      <c r="F43" s="22"/>
      <c r="G43" s="22"/>
      <c r="H43" s="22"/>
    </row>
    <row r="44" customFormat="false" ht="15" hidden="false" customHeight="false" outlineLevel="0" collapsed="false">
      <c r="A44" s="23" t="s">
        <v>109</v>
      </c>
      <c r="B44" s="33" t="n">
        <f aca="false">SUM(C39:G39)</f>
        <v>6056.77395622504</v>
      </c>
    </row>
    <row r="45" customFormat="false" ht="15" hidden="false" customHeight="false" outlineLevel="0" collapsed="false">
      <c r="A45" s="23" t="s">
        <v>110</v>
      </c>
      <c r="B45" s="33" t="n">
        <f aca="false">H36/(B14-B15)</f>
        <v>22758.8157379938</v>
      </c>
    </row>
    <row r="46" customFormat="false" ht="15" hidden="false" customHeight="false" outlineLevel="0" collapsed="false">
      <c r="A46" s="23" t="s">
        <v>111</v>
      </c>
      <c r="B46" s="33" t="n">
        <f aca="false">B45/(1+B14)^G37</f>
        <v>11014.8670592935</v>
      </c>
    </row>
    <row r="47" customFormat="false" ht="15" hidden="false" customHeight="false" outlineLevel="0" collapsed="false">
      <c r="A47" s="34" t="s">
        <v>112</v>
      </c>
      <c r="B47" s="35" t="n">
        <f aca="false">B44+B46</f>
        <v>17071.6410155185</v>
      </c>
    </row>
    <row r="48" customFormat="false" ht="15" hidden="false" customHeight="false" outlineLevel="0" collapsed="false">
      <c r="A48" s="23" t="s">
        <v>113</v>
      </c>
      <c r="B48" s="26" t="n">
        <f aca="false">B46/B47</f>
        <v>0.645214308881068</v>
      </c>
    </row>
    <row r="49" customFormat="false" ht="15" hidden="false" customHeight="false" outlineLevel="0" collapsed="false">
      <c r="A49" s="23" t="s">
        <v>114</v>
      </c>
      <c r="B49" s="38" t="n">
        <f aca="false">B47/C29</f>
        <v>3.19693651976001</v>
      </c>
    </row>
    <row r="50" customFormat="false" ht="15" hidden="false" customHeight="false" outlineLevel="0" collapsed="false">
      <c r="A50" s="23" t="s">
        <v>115</v>
      </c>
      <c r="B50" s="38" t="n">
        <f aca="false">B47/C27</f>
        <v>0.395176875359225</v>
      </c>
    </row>
    <row r="51" customFormat="false" ht="15" hidden="false" customHeight="false" outlineLevel="0" collapsed="false">
      <c r="A51" s="23" t="s">
        <v>116</v>
      </c>
      <c r="B51" s="32" t="n">
        <f aca="false">Assumptions!B39</f>
        <v>4324.9</v>
      </c>
    </row>
    <row r="52" customFormat="false" ht="15" hidden="false" customHeight="false" outlineLevel="0" collapsed="false">
      <c r="A52" s="23" t="s">
        <v>117</v>
      </c>
      <c r="B52" s="32" t="n">
        <f aca="false">'FY26 Actual'!D53</f>
        <v>1044.6</v>
      </c>
    </row>
    <row r="53" customFormat="false" ht="15" hidden="false" customHeight="false" outlineLevel="0" collapsed="false">
      <c r="A53" s="23" t="s">
        <v>118</v>
      </c>
      <c r="B53" s="32" t="n">
        <f aca="false">'FY26 Actual'!D54</f>
        <v>425.8</v>
      </c>
    </row>
    <row r="54" customFormat="false" ht="15" hidden="false" customHeight="false" outlineLevel="0" collapsed="false">
      <c r="A54" s="23" t="s">
        <v>119</v>
      </c>
      <c r="B54" s="32" t="n">
        <f aca="false">-'FY26 Actual'!D56</f>
        <v>-0</v>
      </c>
    </row>
    <row r="55" customFormat="false" ht="15" hidden="false" customHeight="false" outlineLevel="0" collapsed="false">
      <c r="A55" s="34" t="s">
        <v>120</v>
      </c>
      <c r="B55" s="39" t="n">
        <f aca="false">B47+SUM(B51:B54)</f>
        <v>22866.9410155185</v>
      </c>
    </row>
    <row r="56" customFormat="false" ht="15" hidden="false" customHeight="false" outlineLevel="0" collapsed="false">
      <c r="A56" s="23" t="s">
        <v>121</v>
      </c>
      <c r="B56" s="40" t="n">
        <f aca="false">B55/100</f>
        <v>228.669410155185</v>
      </c>
    </row>
    <row r="57" customFormat="false" ht="15" hidden="false" customHeight="false" outlineLevel="0" collapsed="false">
      <c r="A57" s="23" t="s">
        <v>122</v>
      </c>
      <c r="B57" s="41" t="str">
        <f aca="false">IF(N(B23)&gt;0,B55/B23,"n/a – enter shares")</f>
        <v>n/a – enter shares</v>
      </c>
    </row>
    <row r="58" customFormat="false" ht="15" hidden="false" customHeight="false" outlineLevel="0" collapsed="false">
      <c r="A58" s="23" t="s">
        <v>123</v>
      </c>
      <c r="B58" s="32" t="n">
        <f aca="false">'FY26 Actual'!D55</f>
        <v>3745.1</v>
      </c>
    </row>
    <row r="60" customFormat="false" ht="15" hidden="false" customHeight="false" outlineLevel="0" collapsed="false">
      <c r="A60" s="20" t="s">
        <v>124</v>
      </c>
      <c r="B60" s="31" t="s">
        <v>125</v>
      </c>
      <c r="C60" s="31" t="s">
        <v>126</v>
      </c>
      <c r="D60" s="31" t="s">
        <v>127</v>
      </c>
      <c r="E60" s="31" t="s">
        <v>128</v>
      </c>
      <c r="F60" s="31" t="s">
        <v>129</v>
      </c>
      <c r="G60" s="31" t="s">
        <v>126</v>
      </c>
      <c r="H60" s="31" t="s">
        <v>127</v>
      </c>
    </row>
    <row r="61" customFormat="false" ht="15" hidden="false" customHeight="false" outlineLevel="0" collapsed="false">
      <c r="A61" s="23" t="s">
        <v>130</v>
      </c>
      <c r="B61" s="42" t="n">
        <v>6</v>
      </c>
      <c r="C61" s="42" t="n">
        <v>8</v>
      </c>
      <c r="D61" s="42" t="n">
        <v>10</v>
      </c>
      <c r="E61" s="33" t="n">
        <f aca="false">C29</f>
        <v>5340.00000000001</v>
      </c>
      <c r="F61" s="33" t="n">
        <f aca="false">B61*$E61+SUM($B$51:$B$54)</f>
        <v>37835.3000000001</v>
      </c>
      <c r="G61" s="33" t="n">
        <f aca="false">C61*$E61+SUM($B$51:$B$54)</f>
        <v>48515.3000000001</v>
      </c>
      <c r="H61" s="33" t="n">
        <f aca="false">D61*$E61+SUM($B$51:$B$54)</f>
        <v>59195.3000000001</v>
      </c>
      <c r="I61" s="23" t="s">
        <v>131</v>
      </c>
    </row>
    <row r="62" customFormat="false" ht="15" hidden="false" customHeight="false" outlineLevel="0" collapsed="false">
      <c r="A62" s="23" t="s">
        <v>132</v>
      </c>
      <c r="B62" s="42" t="n">
        <v>0.6</v>
      </c>
      <c r="C62" s="42" t="n">
        <v>0.8</v>
      </c>
      <c r="D62" s="42" t="n">
        <v>1</v>
      </c>
      <c r="E62" s="33" t="n">
        <f aca="false">C27</f>
        <v>43200</v>
      </c>
      <c r="F62" s="33" t="n">
        <f aca="false">B62*$E62+SUM($B$51:$B$54)</f>
        <v>31715.3</v>
      </c>
      <c r="G62" s="33" t="n">
        <f aca="false">C62*$E62+SUM($B$51:$B$54)</f>
        <v>40355.3</v>
      </c>
      <c r="H62" s="33" t="n">
        <f aca="false">D62*$E62+SUM($B$51:$B$54)</f>
        <v>48995.3</v>
      </c>
      <c r="I62" s="23" t="s">
        <v>133</v>
      </c>
    </row>
    <row r="63" customFormat="false" ht="15" hidden="false" customHeight="false" outlineLevel="0" collapsed="false">
      <c r="A63" s="23" t="s">
        <v>134</v>
      </c>
      <c r="B63" s="42" t="n">
        <v>0.8</v>
      </c>
      <c r="C63" s="42" t="n">
        <v>1</v>
      </c>
      <c r="D63" s="42" t="n">
        <v>1.2</v>
      </c>
      <c r="E63" s="32" t="n">
        <f aca="false">'FY26 Actual'!D57</f>
        <v>27672.1</v>
      </c>
      <c r="F63" s="33" t="n">
        <f aca="false">B63*$E63</f>
        <v>22137.68</v>
      </c>
      <c r="G63" s="33" t="n">
        <f aca="false">C63*$E63</f>
        <v>27672.1</v>
      </c>
      <c r="H63" s="33" t="n">
        <f aca="false">D63*$E63</f>
        <v>33206.52</v>
      </c>
      <c r="I63" s="23" t="s">
        <v>135</v>
      </c>
    </row>
    <row r="64" customFormat="false" ht="15" hidden="false" customHeight="false" outlineLevel="0" collapsed="false">
      <c r="A64" s="23" t="s">
        <v>136</v>
      </c>
      <c r="F64" s="33" t="n">
        <f aca="false">C83</f>
        <v>21654.3241358885</v>
      </c>
      <c r="G64" s="33" t="n">
        <f aca="false">B55</f>
        <v>22866.9410155185</v>
      </c>
      <c r="H64" s="33" t="n">
        <f aca="false">E81</f>
        <v>24361.4535230763</v>
      </c>
    </row>
    <row r="66" customFormat="false" ht="15" hidden="false" customHeight="false" outlineLevel="0" collapsed="false">
      <c r="A66" s="20" t="s">
        <v>137</v>
      </c>
      <c r="B66" s="31" t="s">
        <v>138</v>
      </c>
      <c r="C66" s="31" t="s">
        <v>139</v>
      </c>
      <c r="D66" s="31" t="s">
        <v>126</v>
      </c>
      <c r="E66" s="31" t="s">
        <v>127</v>
      </c>
      <c r="F66" s="31" t="s">
        <v>140</v>
      </c>
      <c r="G66" s="22"/>
      <c r="H66" s="22"/>
    </row>
    <row r="67" customFormat="false" ht="15" hidden="false" customHeight="false" outlineLevel="0" collapsed="false">
      <c r="A67" s="23" t="s">
        <v>141</v>
      </c>
      <c r="B67" s="24" t="n">
        <v>0.5</v>
      </c>
      <c r="C67" s="33" t="n">
        <f aca="false">F64</f>
        <v>21654.3241358885</v>
      </c>
      <c r="D67" s="33" t="n">
        <f aca="false">G64</f>
        <v>22866.9410155185</v>
      </c>
      <c r="E67" s="33" t="n">
        <f aca="false">H64</f>
        <v>24361.4535230763</v>
      </c>
      <c r="F67" s="40" t="n">
        <f aca="false">D67/100</f>
        <v>228.669410155185</v>
      </c>
    </row>
    <row r="68" customFormat="false" ht="15" hidden="false" customHeight="false" outlineLevel="0" collapsed="false">
      <c r="A68" s="23" t="s">
        <v>142</v>
      </c>
      <c r="B68" s="24" t="n">
        <v>0.3</v>
      </c>
      <c r="C68" s="33" t="n">
        <f aca="false">F61</f>
        <v>37835.3000000001</v>
      </c>
      <c r="D68" s="33" t="n">
        <f aca="false">G61</f>
        <v>48515.3000000001</v>
      </c>
      <c r="E68" s="33" t="n">
        <f aca="false">H61</f>
        <v>59195.3000000001</v>
      </c>
      <c r="F68" s="40" t="n">
        <f aca="false">D68/100</f>
        <v>485.153000000001</v>
      </c>
    </row>
    <row r="69" customFormat="false" ht="15" hidden="false" customHeight="false" outlineLevel="0" collapsed="false">
      <c r="A69" s="23" t="s">
        <v>143</v>
      </c>
      <c r="B69" s="24" t="n">
        <v>0.1</v>
      </c>
      <c r="C69" s="33" t="n">
        <f aca="false">F62</f>
        <v>31715.3</v>
      </c>
      <c r="D69" s="33" t="n">
        <f aca="false">G62</f>
        <v>40355.3</v>
      </c>
      <c r="E69" s="33" t="n">
        <f aca="false">H62</f>
        <v>48995.3</v>
      </c>
      <c r="F69" s="40" t="n">
        <f aca="false">D69/100</f>
        <v>403.553</v>
      </c>
    </row>
    <row r="70" customFormat="false" ht="15" hidden="false" customHeight="false" outlineLevel="0" collapsed="false">
      <c r="A70" s="23" t="s">
        <v>144</v>
      </c>
      <c r="B70" s="24" t="n">
        <v>0.1</v>
      </c>
      <c r="C70" s="33" t="n">
        <f aca="false">F63</f>
        <v>22137.68</v>
      </c>
      <c r="D70" s="33" t="n">
        <f aca="false">G63</f>
        <v>27672.1</v>
      </c>
      <c r="E70" s="33" t="n">
        <f aca="false">H63</f>
        <v>33206.52</v>
      </c>
      <c r="F70" s="40" t="n">
        <f aca="false">D70/100</f>
        <v>276.721</v>
      </c>
    </row>
    <row r="71" customFormat="false" ht="15" hidden="false" customHeight="false" outlineLevel="0" collapsed="false">
      <c r="A71" s="34" t="s">
        <v>145</v>
      </c>
      <c r="B71" s="43" t="n">
        <f aca="false">SUM(B67:B70)</f>
        <v>1</v>
      </c>
      <c r="C71" s="39" t="n">
        <f aca="false">SUMPRODUCT($B$67:$B$70,C67:C70)</f>
        <v>27563.0500679443</v>
      </c>
      <c r="D71" s="39" t="n">
        <f aca="false">SUMPRODUCT($B$67:$B$70,D67:D70)</f>
        <v>32790.8005077593</v>
      </c>
      <c r="E71" s="39" t="n">
        <f aca="false">SUMPRODUCT($B$67:$B$70,E67:E70)</f>
        <v>38159.4987615382</v>
      </c>
      <c r="F71" s="44" t="n">
        <f aca="false">D71/100</f>
        <v>327.908005077593</v>
      </c>
    </row>
    <row r="72" customFormat="false" ht="15" hidden="false" customHeight="false" outlineLevel="0" collapsed="false">
      <c r="A72" s="23" t="s">
        <v>146</v>
      </c>
      <c r="B72" s="45" t="n">
        <f aca="false">ROUND(B71-1,6)</f>
        <v>0</v>
      </c>
    </row>
    <row r="73" customFormat="false" ht="15" hidden="false" customHeight="false" outlineLevel="0" collapsed="false">
      <c r="A73" s="23" t="s">
        <v>147</v>
      </c>
      <c r="D73" s="41" t="str">
        <f aca="false">IF(N(B23)&gt;0,D71/B23,"n/a – enter shares")</f>
        <v>n/a – enter shares</v>
      </c>
    </row>
    <row r="74" customFormat="false" ht="15" hidden="false" customHeight="false" outlineLevel="0" collapsed="false">
      <c r="A74" s="23" t="s">
        <v>148</v>
      </c>
      <c r="D74" s="38" t="n">
        <f aca="false">(D71-SUM(B51:B54))/C29</f>
        <v>5.05533717373768</v>
      </c>
    </row>
    <row r="75" customFormat="false" ht="15" hidden="false" customHeight="false" outlineLevel="0" collapsed="false">
      <c r="A75" s="23" t="s">
        <v>149</v>
      </c>
      <c r="D75" s="46" t="n">
        <f aca="false">D71/'FY26 Actual'!D57</f>
        <v>1.18497694456725</v>
      </c>
    </row>
    <row r="77" customFormat="false" ht="15" hidden="false" customHeight="false" outlineLevel="0" collapsed="false">
      <c r="A77" s="20" t="s">
        <v>150</v>
      </c>
      <c r="B77" s="22"/>
      <c r="C77" s="22"/>
      <c r="D77" s="22"/>
      <c r="E77" s="22"/>
      <c r="F77" s="22"/>
      <c r="G77" s="22"/>
      <c r="H77" s="22"/>
    </row>
    <row r="79" customFormat="false" ht="15" hidden="false" customHeight="false" outlineLevel="0" collapsed="false">
      <c r="A79" s="34" t="s">
        <v>151</v>
      </c>
      <c r="B79" s="47" t="n">
        <f aca="false">$B$15+(-0.01)</f>
        <v>0.04</v>
      </c>
      <c r="C79" s="47" t="n">
        <f aca="false">$B$15+(-0.005)</f>
        <v>0.045</v>
      </c>
      <c r="D79" s="47" t="n">
        <f aca="false">$B$15+(0)</f>
        <v>0.05</v>
      </c>
      <c r="E79" s="47" t="n">
        <f aca="false">$B$15+(0.005)</f>
        <v>0.055</v>
      </c>
      <c r="F79" s="47" t="n">
        <f aca="false">$B$15+(0.01)</f>
        <v>0.06</v>
      </c>
    </row>
    <row r="80" customFormat="false" ht="15" hidden="false" customHeight="false" outlineLevel="0" collapsed="false">
      <c r="A80" s="47" t="n">
        <f aca="false">$B$14+(-0.02)</f>
        <v>0.155</v>
      </c>
      <c r="B80" s="33" t="n">
        <f aca="false">SUMPRODUCT($C$36:$G$36/(1+$A80)^$C$37:$G$37)+($G$27*(1+B$79)*$B$22-$B$17*$G$27*B$79)/($A80-B$79)/(1+$A80)^$G$37+SUM($B$51:$B$54)</f>
        <v>26238.5458426716</v>
      </c>
      <c r="C80" s="33" t="n">
        <f aca="false">SUMPRODUCT($C$36:$G$36/(1+$A80)^$C$37:$G$37)+($G$27*(1+C$79)*$B$22-$B$17*$G$27*C$79)/($A80-C$79)/(1+$A80)^$G$37+SUM($B$51:$B$54)</f>
        <v>26244.762527741</v>
      </c>
      <c r="D80" s="33" t="n">
        <f aca="false">SUMPRODUCT($C$36:$G$36/(1+$A80)^$C$37:$G$37)+($G$27*(1+D$79)*$B$22-$B$17*$G$27*D$79)/($A80-D$79)/(1+$A80)^$G$37+SUM($B$51:$B$54)</f>
        <v>26251.571278055</v>
      </c>
      <c r="E80" s="33" t="n">
        <f aca="false">SUMPRODUCT($C$36:$G$36/(1+$A80)^$C$37:$G$37)+($G$27*(1+E$79)*$B$22-$B$17*$G$27*E$79)/($A80-E$79)/(1+$A80)^$G$37+SUM($B$51:$B$54)</f>
        <v>26259.0609034005</v>
      </c>
      <c r="F80" s="33" t="n">
        <f aca="false">SUMPRODUCT($C$36:$G$36/(1+$A80)^$C$37:$G$37)+($G$27*(1+F$79)*$B$22-$B$17*$G$27*F$79)/($A80-F$79)/(1+$A80)^$G$37+SUM($B$51:$B$54)</f>
        <v>26267.3389103613</v>
      </c>
    </row>
    <row r="81" customFormat="false" ht="15" hidden="false" customHeight="false" outlineLevel="0" collapsed="false">
      <c r="A81" s="47" t="n">
        <f aca="false">$B$14+(-0.01)</f>
        <v>0.165</v>
      </c>
      <c r="B81" s="33" t="n">
        <f aca="false">SUMPRODUCT($C$36:$G$36/(1+$A81)^$C$37:$G$37)+($G$27*(1+B$79)*$B$22-$B$17*$G$27*B$79)/($A81-B$79)/(1+$A81)^$G$37+SUM($B$51:$B$54)</f>
        <v>24492.0357872609</v>
      </c>
      <c r="C81" s="33" t="n">
        <f aca="false">SUMPRODUCT($C$36:$G$36/(1+$A81)^$C$37:$G$37)+($G$27*(1+C$79)*$B$22-$B$17*$G$27*C$79)/($A81-C$79)/(1+$A81)^$G$37+SUM($B$51:$B$54)</f>
        <v>24452.1356509823</v>
      </c>
      <c r="D81" s="33" t="n">
        <f aca="false">SUMPRODUCT($C$36:$G$36/(1+$A81)^$C$37:$G$37)+($G$27*(1+D$79)*$B$22-$B$17*$G$27*D$79)/($A81-D$79)/(1+$A81)^$G$37+SUM($B$51:$B$54)</f>
        <v>24408.7659376359</v>
      </c>
      <c r="E81" s="33" t="n">
        <f aca="false">SUMPRODUCT($C$36:$G$36/(1+$A81)^$C$37:$G$37)+($G$27*(1+E$79)*$B$22-$B$17*$G$27*E$79)/($A81-E$79)/(1+$A81)^$G$37+SUM($B$51:$B$54)</f>
        <v>24361.4535230763</v>
      </c>
      <c r="F81" s="33" t="n">
        <f aca="false">SUMPRODUCT($C$36:$G$36/(1+$A81)^$C$37:$G$37)+($G$27*(1+F$79)*$B$22-$B$17*$G$27*F$79)/($A81-F$79)/(1+$A81)^$G$37+SUM($B$51:$B$54)</f>
        <v>24309.6351642729</v>
      </c>
    </row>
    <row r="82" customFormat="false" ht="15" hidden="false" customHeight="false" outlineLevel="0" collapsed="false">
      <c r="A82" s="47" t="n">
        <f aca="false">$B$14+(0)</f>
        <v>0.175</v>
      </c>
      <c r="B82" s="33" t="n">
        <f aca="false">SUMPRODUCT($C$36:$G$36/(1+$A82)^$C$37:$G$37)+($G$27*(1+B$79)*$B$22-$B$17*$G$27*B$79)/($A82-B$79)/(1+$A82)^$G$37+SUM($B$51:$B$54)</f>
        <v>23012.0827882353</v>
      </c>
      <c r="C82" s="33" t="n">
        <f aca="false">SUMPRODUCT($C$36:$G$36/(1+$A82)^$C$37:$G$37)+($G$27*(1+C$79)*$B$22-$B$17*$G$27*C$79)/($A82-C$79)/(1+$A82)^$G$37+SUM($B$51:$B$54)</f>
        <v>22942.3030898138</v>
      </c>
      <c r="D82" s="33" t="n">
        <f aca="false">SUMPRODUCT($C$36:$G$36/(1+$A82)^$C$37:$G$37)+($G$27*(1+D$79)*$B$22-$B$17*$G$27*D$79)/($A82-D$79)/(1+$A82)^$G$37+SUM($B$51:$B$54)</f>
        <v>22866.9410155185</v>
      </c>
      <c r="E82" s="33" t="n">
        <f aca="false">SUMPRODUCT($C$36:$G$36/(1+$A82)^$C$37:$G$37)+($G$27*(1+E$79)*$B$22-$B$17*$G$27*E$79)/($A82-E$79)/(1+$A82)^$G$37+SUM($B$51:$B$54)</f>
        <v>22785.2987683653</v>
      </c>
      <c r="F82" s="33" t="n">
        <f aca="false">SUMPRODUCT($C$36:$G$36/(1+$A82)^$C$37:$G$37)+($G$27*(1+F$79)*$B$22-$B$17*$G$27*F$79)/($A82-F$79)/(1+$A82)^$G$37+SUM($B$51:$B$54)</f>
        <v>22696.5571953727</v>
      </c>
    </row>
    <row r="83" customFormat="false" ht="15" hidden="false" customHeight="false" outlineLevel="0" collapsed="false">
      <c r="A83" s="47" t="n">
        <f aca="false">$B$14+(0.01)</f>
        <v>0.185</v>
      </c>
      <c r="B83" s="33" t="n">
        <f aca="false">SUMPRODUCT($C$36:$G$36/(1+$A83)^$C$37:$G$37)+($G$27*(1+B$79)*$B$22-$B$17*$G$27*B$79)/($A83-B$79)/(1+$A83)^$G$37+SUM($B$51:$B$54)</f>
        <v>21743.1542438424</v>
      </c>
      <c r="C83" s="33" t="n">
        <f aca="false">SUMPRODUCT($C$36:$G$36/(1+$A83)^$C$37:$G$37)+($G$27*(1+C$79)*$B$22-$B$17*$G$27*C$79)/($A83-C$79)/(1+$A83)^$G$37+SUM($B$51:$B$54)</f>
        <v>21654.3241358885</v>
      </c>
      <c r="D83" s="33" t="n">
        <f aca="false">SUMPRODUCT($C$36:$G$36/(1+$A83)^$C$37:$G$37)+($G$27*(1+D$79)*$B$22-$B$17*$G$27*D$79)/($A83-D$79)/(1+$A83)^$G$37+SUM($B$51:$B$54)</f>
        <v>21558.914019938</v>
      </c>
      <c r="E83" s="33" t="n">
        <f aca="false">SUMPRODUCT($C$36:$G$36/(1+$A83)^$C$37:$G$37)+($G$27*(1+E$79)*$B$22-$B$17*$G$27*E$79)/($A83-E$79)/(1+$A83)^$G$37+SUM($B$51:$B$54)</f>
        <v>21456.164664299</v>
      </c>
      <c r="F83" s="33" t="n">
        <f aca="false">SUMPRODUCT($C$36:$G$36/(1+$A83)^$C$37:$G$37)+($G$27*(1+F$79)*$B$22-$B$17*$G$27*F$79)/($A83-F$79)/(1+$A83)^$G$37+SUM($B$51:$B$54)</f>
        <v>21345.195360209</v>
      </c>
    </row>
    <row r="84" customFormat="false" ht="15" hidden="false" customHeight="false" outlineLevel="0" collapsed="false">
      <c r="A84" s="47" t="n">
        <f aca="false">$B$14+(0.02)</f>
        <v>0.195</v>
      </c>
      <c r="B84" s="33" t="n">
        <f aca="false">SUMPRODUCT($C$36:$G$36/(1+$A84)^$C$37:$G$37)+($G$27*(1+B$79)*$B$22-$B$17*$G$27*B$79)/($A84-B$79)/(1+$A84)^$G$37+SUM($B$51:$B$54)</f>
        <v>20644.0698018627</v>
      </c>
      <c r="C84" s="33" t="n">
        <f aca="false">SUMPRODUCT($C$36:$G$36/(1+$A84)^$C$37:$G$37)+($G$27*(1+C$79)*$B$22-$B$17*$G$27*C$79)/($A84-C$79)/(1+$A84)^$G$37+SUM($B$51:$B$54)</f>
        <v>20543.5277847304</v>
      </c>
      <c r="D84" s="33" t="n">
        <f aca="false">SUMPRODUCT($C$36:$G$36/(1+$A84)^$C$37:$G$37)+($G$27*(1+D$79)*$B$22-$B$17*$G$27*D$79)/($A84-D$79)/(1+$A84)^$G$37+SUM($B$51:$B$54)</f>
        <v>20436.0518353822</v>
      </c>
      <c r="E84" s="33" t="n">
        <f aca="false">SUMPRODUCT($C$36:$G$36/(1+$A84)^$C$37:$G$37)+($G$27*(1+E$79)*$B$22-$B$17*$G$27*E$79)/($A84-E$79)/(1+$A84)^$G$37+SUM($B$51:$B$54)</f>
        <v>20320.8990325091</v>
      </c>
      <c r="F84" s="33" t="n">
        <f aca="false">SUMPRODUCT($C$36:$G$36/(1+$A84)^$C$37:$G$37)+($G$27*(1+F$79)*$B$22-$B$17*$G$27*F$79)/($A84-F$79)/(1+$A84)^$G$37+SUM($B$51:$B$54)</f>
        <v>20197.2163923861</v>
      </c>
    </row>
    <row r="86" customFormat="false" ht="15" hidden="false" customHeight="false" outlineLevel="0" collapsed="false">
      <c r="A86" s="20" t="s">
        <v>152</v>
      </c>
      <c r="B86" s="22"/>
      <c r="C86" s="22"/>
      <c r="D86" s="22"/>
      <c r="E86" s="22"/>
      <c r="F86" s="22"/>
      <c r="G86" s="22"/>
      <c r="H86" s="22"/>
    </row>
    <row r="87" customFormat="false" ht="42" hidden="false" customHeight="true" outlineLevel="0" collapsed="false">
      <c r="A87" s="48" t="s">
        <v>153</v>
      </c>
      <c r="B87" s="48"/>
      <c r="C87" s="48"/>
      <c r="D87" s="48"/>
      <c r="E87" s="48"/>
      <c r="F87" s="48"/>
      <c r="G87" s="48"/>
      <c r="H87" s="48"/>
    </row>
    <row r="88" customFormat="false" ht="42" hidden="false" customHeight="true" outlineLevel="0" collapsed="false">
      <c r="A88" s="48" t="s">
        <v>154</v>
      </c>
      <c r="B88" s="48"/>
      <c r="C88" s="48"/>
      <c r="D88" s="48"/>
      <c r="E88" s="48"/>
      <c r="F88" s="48"/>
      <c r="G88" s="48"/>
      <c r="H88" s="48"/>
    </row>
    <row r="89" customFormat="false" ht="42" hidden="false" customHeight="true" outlineLevel="0" collapsed="false">
      <c r="A89" s="48" t="s">
        <v>155</v>
      </c>
      <c r="B89" s="48"/>
      <c r="C89" s="48"/>
      <c r="D89" s="48"/>
      <c r="E89" s="48"/>
      <c r="F89" s="48"/>
      <c r="G89" s="48"/>
      <c r="H89" s="48"/>
    </row>
    <row r="90" customFormat="false" ht="42" hidden="false" customHeight="true" outlineLevel="0" collapsed="false">
      <c r="A90" s="48" t="s">
        <v>156</v>
      </c>
      <c r="B90" s="48"/>
      <c r="C90" s="48"/>
      <c r="D90" s="48"/>
      <c r="E90" s="48"/>
      <c r="F90" s="48"/>
      <c r="G90" s="48"/>
      <c r="H90" s="48"/>
    </row>
    <row r="91" customFormat="false" ht="42" hidden="false" customHeight="true" outlineLevel="0" collapsed="false">
      <c r="A91" s="48" t="s">
        <v>157</v>
      </c>
      <c r="B91" s="48"/>
      <c r="C91" s="48"/>
      <c r="D91" s="48"/>
      <c r="E91" s="48"/>
      <c r="F91" s="48"/>
      <c r="G91" s="48"/>
      <c r="H91" s="48"/>
    </row>
    <row r="92" customFormat="false" ht="42" hidden="false" customHeight="true" outlineLevel="0" collapsed="false">
      <c r="A92" s="48" t="s">
        <v>158</v>
      </c>
      <c r="B92" s="48"/>
      <c r="C92" s="48"/>
      <c r="D92" s="48"/>
      <c r="E92" s="48"/>
      <c r="F92" s="48"/>
      <c r="G92" s="48"/>
      <c r="H92" s="48"/>
    </row>
    <row r="93" customFormat="false" ht="42" hidden="false" customHeight="true" outlineLevel="0" collapsed="false">
      <c r="A93" s="48" t="s">
        <v>159</v>
      </c>
      <c r="B93" s="48"/>
      <c r="C93" s="48"/>
      <c r="D93" s="48"/>
      <c r="E93" s="48"/>
      <c r="F93" s="48"/>
      <c r="G93" s="48"/>
      <c r="H93" s="48"/>
    </row>
    <row r="94" customFormat="false" ht="42" hidden="false" customHeight="true" outlineLevel="0" collapsed="false">
      <c r="A94" s="48" t="s">
        <v>160</v>
      </c>
      <c r="B94" s="48"/>
      <c r="C94" s="48"/>
      <c r="D94" s="48"/>
      <c r="E94" s="48"/>
      <c r="F94" s="48"/>
      <c r="G94" s="48"/>
      <c r="H94" s="48"/>
    </row>
    <row r="95" customFormat="false" ht="42" hidden="false" customHeight="true" outlineLevel="0" collapsed="false">
      <c r="A95" s="48" t="s">
        <v>161</v>
      </c>
      <c r="B95" s="48"/>
      <c r="C95" s="48"/>
      <c r="D95" s="48"/>
      <c r="E95" s="48"/>
      <c r="F95" s="48"/>
      <c r="G95" s="48"/>
      <c r="H95" s="48"/>
    </row>
  </sheetData>
  <mergeCells count="9">
    <mergeCell ref="A87:H87"/>
    <mergeCell ref="A88:H88"/>
    <mergeCell ref="A89:H89"/>
    <mergeCell ref="A90:H90"/>
    <mergeCell ref="A91:H91"/>
    <mergeCell ref="A92:H92"/>
    <mergeCell ref="A93:H93"/>
    <mergeCell ref="A94:H94"/>
    <mergeCell ref="A95:H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12"/>
    <col collapsed="false" customWidth="true" hidden="false" outlineLevel="0" max="4" min="4" style="0" width="70"/>
    <col collapsed="false" customWidth="true" hidden="false" outlineLevel="0" max="5" min="5" style="0" width="12"/>
    <col collapsed="false" customWidth="true" hidden="false" outlineLevel="0" max="13" min="6" style="0" width="13"/>
  </cols>
  <sheetData>
    <row r="1" customFormat="false" ht="15" hidden="false" customHeight="false" outlineLevel="0" collapsed="false">
      <c r="A1" s="1" t="s">
        <v>0</v>
      </c>
    </row>
    <row r="2" customFormat="false" ht="16.5" hidden="false" customHeight="true" outlineLevel="0" collapsed="false">
      <c r="A2" s="2" t="s">
        <v>162</v>
      </c>
    </row>
    <row r="3" customFormat="false" ht="15" hidden="false" customHeight="false" outlineLevel="0" collapsed="false">
      <c r="A3" s="1" t="s">
        <v>2</v>
      </c>
    </row>
    <row r="5" customFormat="false" ht="15" hidden="false" customHeight="false" outlineLevel="0" collapsed="false">
      <c r="A5" s="3" t="s">
        <v>163</v>
      </c>
      <c r="B5" s="3" t="s">
        <v>42</v>
      </c>
      <c r="C5" s="3" t="s">
        <v>43</v>
      </c>
      <c r="D5" s="3" t="s">
        <v>44</v>
      </c>
    </row>
    <row r="6" customFormat="false" ht="15" hidden="false" customHeight="false" outlineLevel="0" collapsed="false">
      <c r="A6" s="11" t="s">
        <v>164</v>
      </c>
      <c r="B6" s="12"/>
      <c r="C6" s="12"/>
      <c r="D6" s="12"/>
    </row>
    <row r="7" customFormat="false" ht="15" hidden="false" customHeight="false" outlineLevel="0" collapsed="false">
      <c r="A7" s="49" t="s">
        <v>165</v>
      </c>
      <c r="B7" s="50" t="n">
        <v>44500</v>
      </c>
      <c r="C7" s="49" t="s">
        <v>3</v>
      </c>
      <c r="D7" s="1" t="s">
        <v>166</v>
      </c>
    </row>
    <row r="8" customFormat="false" ht="15" hidden="false" customHeight="false" outlineLevel="0" collapsed="false">
      <c r="A8" s="49" t="s">
        <v>167</v>
      </c>
      <c r="B8" s="50" t="n">
        <v>43200</v>
      </c>
      <c r="C8" s="49" t="s">
        <v>3</v>
      </c>
      <c r="D8" s="1" t="s">
        <v>166</v>
      </c>
    </row>
    <row r="9" customFormat="false" ht="15" hidden="false" customHeight="false" outlineLevel="0" collapsed="false">
      <c r="A9" s="49" t="s">
        <v>168</v>
      </c>
      <c r="B9" s="51" t="n">
        <f aca="false">B7-B8</f>
        <v>1300</v>
      </c>
      <c r="C9" s="49" t="s">
        <v>3</v>
      </c>
      <c r="D9" s="1" t="s">
        <v>169</v>
      </c>
    </row>
    <row r="10" customFormat="false" ht="15" hidden="false" customHeight="false" outlineLevel="0" collapsed="false">
      <c r="A10" s="49" t="s">
        <v>170</v>
      </c>
      <c r="B10" s="52" t="n">
        <f aca="false">IF(B7=0,0,B9/B7)</f>
        <v>0.0292134831460674</v>
      </c>
      <c r="C10" s="49" t="s">
        <v>46</v>
      </c>
      <c r="D10" s="1" t="s">
        <v>171</v>
      </c>
    </row>
    <row r="11" customFormat="false" ht="15" hidden="false" customHeight="false" outlineLevel="0" collapsed="false">
      <c r="A11" s="49" t="s">
        <v>172</v>
      </c>
      <c r="B11" s="14" t="n">
        <f aca="false">'FY26 Actual'!E43</f>
        <v>0.683668149864406</v>
      </c>
      <c r="C11" s="49" t="s">
        <v>46</v>
      </c>
      <c r="D11" s="1" t="s">
        <v>173</v>
      </c>
    </row>
    <row r="12" customFormat="false" ht="15" hidden="false" customHeight="false" outlineLevel="0" collapsed="false">
      <c r="A12" s="49" t="s">
        <v>174</v>
      </c>
      <c r="B12" s="52" t="n">
        <f aca="false">1-B11</f>
        <v>0.316331850135594</v>
      </c>
      <c r="C12" s="49" t="s">
        <v>46</v>
      </c>
      <c r="D12" s="1" t="s">
        <v>175</v>
      </c>
    </row>
    <row r="14" customFormat="false" ht="15" hidden="false" customHeight="false" outlineLevel="0" collapsed="false">
      <c r="A14" s="11" t="s">
        <v>176</v>
      </c>
      <c r="B14" s="12"/>
      <c r="C14" s="12"/>
      <c r="D14" s="12"/>
    </row>
    <row r="15" customFormat="false" ht="15" hidden="false" customHeight="false" outlineLevel="0" collapsed="false">
      <c r="A15" s="49" t="s">
        <v>177</v>
      </c>
      <c r="B15" s="53" t="n">
        <v>0.12</v>
      </c>
      <c r="C15" s="49" t="s">
        <v>46</v>
      </c>
      <c r="D15" s="1" t="s">
        <v>178</v>
      </c>
    </row>
    <row r="16" customFormat="false" ht="15" hidden="false" customHeight="false" outlineLevel="0" collapsed="false">
      <c r="A16" s="49" t="s">
        <v>179</v>
      </c>
      <c r="B16" s="51" t="n">
        <f aca="false">B7*B15</f>
        <v>5340</v>
      </c>
      <c r="C16" s="49" t="s">
        <v>3</v>
      </c>
      <c r="D16" s="1" t="s">
        <v>180</v>
      </c>
    </row>
    <row r="17" customFormat="false" ht="15" hidden="false" customHeight="false" outlineLevel="0" collapsed="false">
      <c r="A17" s="49" t="s">
        <v>181</v>
      </c>
      <c r="B17" s="53" t="n">
        <v>0.03</v>
      </c>
      <c r="C17" s="49" t="s">
        <v>46</v>
      </c>
      <c r="D17" s="1" t="s">
        <v>182</v>
      </c>
    </row>
    <row r="18" customFormat="false" ht="15" hidden="false" customHeight="false" outlineLevel="0" collapsed="false">
      <c r="A18" s="49" t="s">
        <v>183</v>
      </c>
      <c r="B18" s="51" t="n">
        <f aca="false">B7*B17</f>
        <v>1335</v>
      </c>
      <c r="C18" s="49" t="s">
        <v>3</v>
      </c>
      <c r="D18" s="1" t="s">
        <v>180</v>
      </c>
    </row>
    <row r="20" customFormat="false" ht="15" hidden="false" customHeight="false" outlineLevel="0" collapsed="false">
      <c r="A20" s="11" t="s">
        <v>184</v>
      </c>
      <c r="B20" s="12"/>
      <c r="C20" s="12"/>
      <c r="D20" s="12"/>
    </row>
    <row r="21" customFormat="false" ht="15" hidden="false" customHeight="false" outlineLevel="0" collapsed="false">
      <c r="A21" s="49" t="s">
        <v>185</v>
      </c>
      <c r="B21" s="51" t="n">
        <f aca="false">B8-B16-B18</f>
        <v>36525</v>
      </c>
      <c r="C21" s="49" t="s">
        <v>3</v>
      </c>
      <c r="D21" s="1" t="s">
        <v>186</v>
      </c>
    </row>
    <row r="22" customFormat="false" ht="15" hidden="false" customHeight="false" outlineLevel="0" collapsed="false">
      <c r="A22" s="49" t="s">
        <v>187</v>
      </c>
      <c r="B22" s="5" t="n">
        <f aca="false">'Global PNL'!C44</f>
        <v>36952.7</v>
      </c>
      <c r="C22" s="49" t="s">
        <v>3</v>
      </c>
      <c r="D22" s="1" t="s">
        <v>188</v>
      </c>
    </row>
    <row r="23" customFormat="false" ht="15" hidden="false" customHeight="false" outlineLevel="0" collapsed="false">
      <c r="A23" s="49" t="s">
        <v>189</v>
      </c>
      <c r="B23" s="54" t="n">
        <f aca="false">IF(B22=0,0,B21/B22)</f>
        <v>0.98842574426226</v>
      </c>
      <c r="C23" s="49" t="s">
        <v>51</v>
      </c>
      <c r="D23" s="1" t="s">
        <v>190</v>
      </c>
    </row>
    <row r="24" customFormat="false" ht="15" hidden="false" customHeight="false" outlineLevel="0" collapsed="false">
      <c r="A24" s="49" t="s">
        <v>191</v>
      </c>
      <c r="B24" s="52" t="n">
        <f aca="false">B23-1</f>
        <v>-0.0115742557377405</v>
      </c>
      <c r="C24" s="49" t="s">
        <v>46</v>
      </c>
      <c r="D24" s="1" t="s">
        <v>180</v>
      </c>
    </row>
    <row r="26" customFormat="false" ht="15" hidden="false" customHeight="false" outlineLevel="0" collapsed="false">
      <c r="A26" s="11" t="s">
        <v>192</v>
      </c>
      <c r="B26" s="12"/>
      <c r="C26" s="12"/>
      <c r="D26" s="12"/>
    </row>
    <row r="27" customFormat="false" ht="15" hidden="false" customHeight="false" outlineLevel="0" collapsed="false">
      <c r="A27" s="49" t="s">
        <v>193</v>
      </c>
      <c r="B27" s="5" t="n">
        <f aca="false">'FY26 Actual'!D8</f>
        <v>274.8</v>
      </c>
      <c r="C27" s="49" t="s">
        <v>3</v>
      </c>
      <c r="D27" s="1" t="s">
        <v>194</v>
      </c>
    </row>
    <row r="28" customFormat="false" ht="15" hidden="false" customHeight="false" outlineLevel="0" collapsed="false">
      <c r="A28" s="49" t="s">
        <v>195</v>
      </c>
      <c r="B28" s="5" t="n">
        <f aca="false">'FY26 Actual'!D14</f>
        <v>1447</v>
      </c>
      <c r="C28" s="49" t="s">
        <v>3</v>
      </c>
      <c r="D28" s="1" t="s">
        <v>196</v>
      </c>
    </row>
    <row r="29" customFormat="false" ht="15" hidden="false" customHeight="false" outlineLevel="0" collapsed="false">
      <c r="A29" s="49" t="s">
        <v>197</v>
      </c>
      <c r="B29" s="5" t="n">
        <f aca="false">'FY26 Actual'!D13</f>
        <v>272.2</v>
      </c>
      <c r="C29" s="49" t="s">
        <v>3</v>
      </c>
      <c r="D29" s="1" t="s">
        <v>198</v>
      </c>
    </row>
    <row r="30" customFormat="false" ht="15" hidden="false" customHeight="false" outlineLevel="0" collapsed="false">
      <c r="A30" s="49" t="s">
        <v>199</v>
      </c>
      <c r="B30" s="53" t="n">
        <v>0.2517</v>
      </c>
      <c r="C30" s="49" t="s">
        <v>46</v>
      </c>
      <c r="D30" s="1" t="s">
        <v>200</v>
      </c>
    </row>
    <row r="32" customFormat="false" ht="15" hidden="false" customHeight="false" outlineLevel="0" collapsed="false">
      <c r="A32" s="11" t="s">
        <v>201</v>
      </c>
      <c r="B32" s="12"/>
      <c r="C32" s="12"/>
      <c r="D32" s="12"/>
    </row>
    <row r="33" customFormat="false" ht="15" hidden="false" customHeight="false" outlineLevel="0" collapsed="false">
      <c r="A33" s="49" t="s">
        <v>202</v>
      </c>
      <c r="B33" s="50" t="n">
        <v>300</v>
      </c>
      <c r="C33" s="49" t="s">
        <v>3</v>
      </c>
      <c r="D33" s="1" t="s">
        <v>203</v>
      </c>
    </row>
    <row r="34" customFormat="false" ht="15" hidden="false" customHeight="false" outlineLevel="0" collapsed="false">
      <c r="A34" s="49" t="s">
        <v>204</v>
      </c>
      <c r="B34" s="5" t="n">
        <f aca="false">'FY26 Actual'!D60+'FY26 Actual'!D61</f>
        <v>1003.4</v>
      </c>
      <c r="C34" s="49" t="s">
        <v>3</v>
      </c>
      <c r="D34" s="1" t="s">
        <v>205</v>
      </c>
    </row>
    <row r="35" customFormat="false" ht="15" hidden="false" customHeight="false" outlineLevel="0" collapsed="false">
      <c r="A35" s="49" t="s">
        <v>206</v>
      </c>
      <c r="B35" s="55" t="n">
        <v>140</v>
      </c>
      <c r="C35" s="49" t="s">
        <v>207</v>
      </c>
      <c r="D35" s="1" t="s">
        <v>208</v>
      </c>
    </row>
    <row r="36" customFormat="false" ht="15" hidden="false" customHeight="false" outlineLevel="0" collapsed="false">
      <c r="A36" s="49" t="s">
        <v>209</v>
      </c>
      <c r="B36" s="55" t="n">
        <v>115</v>
      </c>
      <c r="C36" s="49" t="s">
        <v>207</v>
      </c>
      <c r="D36" s="1" t="s">
        <v>210</v>
      </c>
    </row>
    <row r="37" customFormat="false" ht="15" hidden="false" customHeight="false" outlineLevel="0" collapsed="false">
      <c r="A37" s="49" t="s">
        <v>211</v>
      </c>
      <c r="B37" s="53" t="n">
        <v>0.1</v>
      </c>
      <c r="C37" s="49" t="s">
        <v>46</v>
      </c>
      <c r="D37" s="1" t="s">
        <v>212</v>
      </c>
    </row>
    <row r="38" customFormat="false" ht="15" hidden="false" customHeight="false" outlineLevel="0" collapsed="false">
      <c r="A38" s="49" t="s">
        <v>213</v>
      </c>
      <c r="B38" s="55" t="n">
        <v>95</v>
      </c>
      <c r="C38" s="49" t="s">
        <v>207</v>
      </c>
      <c r="D38" s="1" t="s">
        <v>214</v>
      </c>
    </row>
    <row r="39" customFormat="false" ht="15" hidden="false" customHeight="false" outlineLevel="0" collapsed="false">
      <c r="A39" s="49" t="s">
        <v>215</v>
      </c>
      <c r="B39" s="5" t="n">
        <f aca="false">'FY26 Actual'!D52</f>
        <v>4324.9</v>
      </c>
      <c r="C39" s="49" t="s">
        <v>3</v>
      </c>
      <c r="D39" s="1" t="s">
        <v>216</v>
      </c>
    </row>
    <row r="41" customFormat="false" ht="15" hidden="false" customHeight="false" outlineLevel="0" collapsed="false">
      <c r="A41" s="11" t="s">
        <v>217</v>
      </c>
      <c r="B41" s="12"/>
      <c r="C41" s="12"/>
      <c r="D41" s="12"/>
    </row>
    <row r="42" customFormat="false" ht="15" hidden="false" customHeight="false" outlineLevel="0" collapsed="false">
      <c r="A42" s="49" t="s">
        <v>218</v>
      </c>
      <c r="B42" s="53" t="n">
        <v>0.1</v>
      </c>
      <c r="C42" s="49" t="s">
        <v>46</v>
      </c>
      <c r="D42" s="1" t="s">
        <v>219</v>
      </c>
    </row>
    <row r="44" customFormat="false" ht="15" hidden="false" customHeight="false" outlineLevel="0" collapsed="false">
      <c r="A44" s="11" t="s">
        <v>220</v>
      </c>
      <c r="B44" s="12"/>
      <c r="C44" s="12"/>
      <c r="D44" s="12"/>
    </row>
    <row r="45" customFormat="false" ht="15" hidden="false" customHeight="false" outlineLevel="0" collapsed="false">
      <c r="A45" s="49" t="s">
        <v>221</v>
      </c>
      <c r="B45" s="53" t="n">
        <v>0.822</v>
      </c>
      <c r="C45" s="49" t="s">
        <v>46</v>
      </c>
      <c r="D45" s="1" t="s">
        <v>222</v>
      </c>
    </row>
    <row r="46" customFormat="false" ht="15" hidden="false" customHeight="false" outlineLevel="0" collapsed="false">
      <c r="A46" s="49" t="s">
        <v>223</v>
      </c>
      <c r="B46" s="53" t="n">
        <v>0.099</v>
      </c>
      <c r="C46" s="49" t="s">
        <v>46</v>
      </c>
      <c r="D46" s="1" t="s">
        <v>224</v>
      </c>
    </row>
    <row r="47" customFormat="false" ht="15" hidden="false" customHeight="false" outlineLevel="0" collapsed="false">
      <c r="A47" s="49" t="s">
        <v>225</v>
      </c>
      <c r="B47" s="52" t="n">
        <f aca="false">1-B45-B46</f>
        <v>0.079</v>
      </c>
      <c r="C47" s="49" t="s">
        <v>46</v>
      </c>
      <c r="D47" s="1" t="s">
        <v>175</v>
      </c>
    </row>
    <row r="48" customFormat="false" ht="15" hidden="false" customHeight="false" outlineLevel="0" collapsed="false">
      <c r="A48" s="49" t="s">
        <v>226</v>
      </c>
      <c r="B48" s="53" t="n">
        <v>0.618</v>
      </c>
      <c r="C48" s="49" t="s">
        <v>46</v>
      </c>
      <c r="D48" s="1" t="s">
        <v>227</v>
      </c>
    </row>
    <row r="49" customFormat="false" ht="15" hidden="false" customHeight="false" outlineLevel="0" collapsed="false">
      <c r="A49" s="49" t="s">
        <v>228</v>
      </c>
      <c r="B49" s="53" t="n">
        <v>0.07</v>
      </c>
      <c r="C49" s="49" t="s">
        <v>46</v>
      </c>
      <c r="D49" s="1" t="s">
        <v>229</v>
      </c>
    </row>
    <row r="50" customFormat="false" ht="15" hidden="false" customHeight="false" outlineLevel="0" collapsed="false">
      <c r="A50" s="49" t="s">
        <v>230</v>
      </c>
      <c r="B50" s="52" t="n">
        <f aca="false">1-B48-B49</f>
        <v>0.312</v>
      </c>
      <c r="C50" s="49" t="s">
        <v>46</v>
      </c>
      <c r="D50" s="1" t="s">
        <v>175</v>
      </c>
    </row>
    <row r="52" customFormat="false" ht="15" hidden="false" customHeight="false" outlineLevel="0" collapsed="false">
      <c r="A52" s="11" t="s">
        <v>231</v>
      </c>
      <c r="B52" s="12"/>
      <c r="C52" s="12"/>
      <c r="D52" s="12"/>
    </row>
    <row r="53" customFormat="false" ht="15" hidden="false" customHeight="false" outlineLevel="0" collapsed="false">
      <c r="A53" s="49" t="s">
        <v>232</v>
      </c>
      <c r="B53" s="53" t="n">
        <v>0.05</v>
      </c>
      <c r="C53" s="49" t="s">
        <v>46</v>
      </c>
      <c r="D53" s="1" t="s">
        <v>233</v>
      </c>
    </row>
    <row r="54" customFormat="false" ht="15" hidden="false" customHeight="false" outlineLevel="0" collapsed="false">
      <c r="A54" s="49" t="s">
        <v>234</v>
      </c>
      <c r="B54" s="53" t="n">
        <v>0.02</v>
      </c>
      <c r="C54" s="49" t="s">
        <v>46</v>
      </c>
      <c r="D54" s="1" t="s">
        <v>233</v>
      </c>
    </row>
    <row r="56" customFormat="false" ht="15" hidden="false" customHeight="false" outlineLevel="0" collapsed="false">
      <c r="A56" s="11" t="s">
        <v>235</v>
      </c>
      <c r="B56" s="12"/>
      <c r="C56" s="12"/>
      <c r="D56" s="12"/>
    </row>
    <row r="57" customFormat="false" ht="15" hidden="false" customHeight="false" outlineLevel="0" collapsed="false">
      <c r="A57" s="56" t="s">
        <v>236</v>
      </c>
      <c r="B57" s="57" t="n">
        <v>46113</v>
      </c>
      <c r="C57" s="57" t="n">
        <v>46143</v>
      </c>
      <c r="D57" s="57" t="n">
        <v>46174</v>
      </c>
      <c r="E57" s="57" t="n">
        <v>46204</v>
      </c>
      <c r="F57" s="57" t="n">
        <v>46235</v>
      </c>
      <c r="G57" s="57" t="n">
        <v>46266</v>
      </c>
      <c r="H57" s="57" t="n">
        <v>46296</v>
      </c>
      <c r="I57" s="57" t="n">
        <v>46327</v>
      </c>
      <c r="J57" s="57" t="n">
        <v>46357</v>
      </c>
      <c r="K57" s="57" t="n">
        <v>46388</v>
      </c>
      <c r="L57" s="57" t="n">
        <v>46419</v>
      </c>
      <c r="M57" s="57" t="n">
        <v>46447</v>
      </c>
      <c r="N57" s="56" t="s">
        <v>237</v>
      </c>
    </row>
    <row r="58" customFormat="false" ht="15" hidden="false" customHeight="false" outlineLevel="0" collapsed="false">
      <c r="A58" s="49" t="s">
        <v>238</v>
      </c>
      <c r="B58" s="53" t="n">
        <v>0.0745</v>
      </c>
      <c r="C58" s="53" t="n">
        <v>0.0483</v>
      </c>
      <c r="D58" s="53" t="n">
        <v>0.0627</v>
      </c>
      <c r="E58" s="53" t="n">
        <v>0.0713</v>
      </c>
      <c r="F58" s="53" t="n">
        <v>0.0756</v>
      </c>
      <c r="G58" s="53" t="n">
        <v>0.0803</v>
      </c>
      <c r="H58" s="53" t="n">
        <v>0.0858</v>
      </c>
      <c r="I58" s="53" t="n">
        <v>0.0868</v>
      </c>
      <c r="J58" s="53" t="n">
        <v>0.089</v>
      </c>
      <c r="K58" s="53" t="n">
        <v>0.1043</v>
      </c>
      <c r="L58" s="53" t="n">
        <v>0.1086</v>
      </c>
      <c r="M58" s="53" t="n">
        <f aca="false">1-SUM(B58:L58)</f>
        <v>0.1128</v>
      </c>
      <c r="N58" s="10" t="n">
        <f aca="false">SUM(B58:M58)</f>
        <v>1</v>
      </c>
    </row>
    <row r="59" customFormat="false" ht="15" hidden="false" customHeight="false" outlineLevel="0" collapsed="false">
      <c r="A59" s="1" t="s">
        <v>239</v>
      </c>
    </row>
    <row r="60" customFormat="false" ht="15" hidden="false" customHeight="false" outlineLevel="0" collapsed="false">
      <c r="A60" s="4" t="s">
        <v>240</v>
      </c>
      <c r="B60" s="6" t="n">
        <f aca="false">ROUND(N58-1,4)</f>
        <v>0</v>
      </c>
    </row>
    <row r="62" customFormat="false" ht="15" hidden="false" customHeight="false" outlineLevel="0" collapsed="false">
      <c r="A62" s="1" t="s">
        <v>241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52"/>
    <col collapsed="false" customWidth="true" hidden="false" outlineLevel="0" max="2" min="2" style="0" width="26"/>
    <col collapsed="false" customWidth="true" hidden="false" outlineLevel="0" max="5" min="3" style="0" width="14"/>
    <col collapsed="false" customWidth="true" hidden="false" outlineLevel="0" max="6" min="6" style="0" width="30"/>
  </cols>
  <sheetData>
    <row r="1" customFormat="false" ht="15" hidden="false" customHeight="false" outlineLevel="0" collapsed="false">
      <c r="A1" s="1" t="s">
        <v>0</v>
      </c>
    </row>
    <row r="2" customFormat="false" ht="16.5" hidden="false" customHeight="true" outlineLevel="0" collapsed="false">
      <c r="A2" s="2" t="s">
        <v>242</v>
      </c>
    </row>
    <row r="3" customFormat="false" ht="15" hidden="false" customHeight="false" outlineLevel="0" collapsed="false">
      <c r="A3" s="1" t="s">
        <v>243</v>
      </c>
    </row>
    <row r="5" customFormat="false" ht="25.5" hidden="false" customHeight="true" outlineLevel="0" collapsed="false">
      <c r="A5" s="3" t="s">
        <v>244</v>
      </c>
      <c r="B5" s="3" t="s">
        <v>245</v>
      </c>
      <c r="C5" s="3" t="s">
        <v>246</v>
      </c>
      <c r="D5" s="3" t="s">
        <v>247</v>
      </c>
      <c r="E5" s="3" t="s">
        <v>248</v>
      </c>
      <c r="F5" s="3" t="s">
        <v>249</v>
      </c>
    </row>
    <row r="6" customFormat="false" ht="15" hidden="false" customHeight="false" outlineLevel="0" collapsed="false">
      <c r="A6" s="49" t="s">
        <v>250</v>
      </c>
      <c r="B6" s="1" t="s">
        <v>251</v>
      </c>
      <c r="C6" s="58" t="n">
        <v>2596.64</v>
      </c>
      <c r="D6" s="59" t="n">
        <f aca="false">C6*10</f>
        <v>25966.4</v>
      </c>
      <c r="E6" s="58" t="n">
        <v>2821.58</v>
      </c>
      <c r="F6" s="59" t="n">
        <f aca="false">E6*10</f>
        <v>28215.8</v>
      </c>
    </row>
    <row r="7" customFormat="false" ht="15" hidden="false" customHeight="false" outlineLevel="0" collapsed="false">
      <c r="A7" s="49" t="s">
        <v>252</v>
      </c>
      <c r="B7" s="1" t="s">
        <v>251</v>
      </c>
      <c r="C7" s="58" t="n">
        <v>1201.46</v>
      </c>
      <c r="D7" s="59" t="n">
        <f aca="false">C7*10</f>
        <v>12014.6</v>
      </c>
      <c r="E7" s="58" t="n">
        <v>1189.55</v>
      </c>
      <c r="F7" s="59" t="n">
        <f aca="false">E7*10</f>
        <v>11895.5</v>
      </c>
    </row>
    <row r="8" customFormat="false" ht="15" hidden="false" customHeight="false" outlineLevel="0" collapsed="false">
      <c r="A8" s="49" t="s">
        <v>253</v>
      </c>
      <c r="B8" s="1" t="s">
        <v>254</v>
      </c>
      <c r="C8" s="58" t="n">
        <v>27.48</v>
      </c>
      <c r="D8" s="59" t="n">
        <f aca="false">C8*10</f>
        <v>274.8</v>
      </c>
      <c r="E8" s="58" t="n">
        <v>45.64</v>
      </c>
      <c r="F8" s="59" t="n">
        <f aca="false">E8*10</f>
        <v>456.4</v>
      </c>
    </row>
    <row r="9" customFormat="false" ht="15" hidden="false" customHeight="false" outlineLevel="0" collapsed="false">
      <c r="A9" s="49" t="s">
        <v>255</v>
      </c>
      <c r="B9" s="1" t="s">
        <v>256</v>
      </c>
      <c r="C9" s="58" t="n">
        <v>2236.61</v>
      </c>
      <c r="D9" s="59" t="n">
        <f aca="false">C9*10</f>
        <v>22366.1</v>
      </c>
      <c r="E9" s="58" t="n">
        <v>2317.64</v>
      </c>
      <c r="F9" s="59" t="n">
        <f aca="false">E9*10</f>
        <v>23176.4</v>
      </c>
    </row>
    <row r="10" customFormat="false" ht="15" hidden="false" customHeight="false" outlineLevel="0" collapsed="false">
      <c r="A10" s="49" t="s">
        <v>257</v>
      </c>
      <c r="B10" s="1" t="s">
        <v>256</v>
      </c>
      <c r="C10" s="58" t="n">
        <v>131.28</v>
      </c>
      <c r="D10" s="59" t="n">
        <f aca="false">C10*10</f>
        <v>1312.8</v>
      </c>
      <c r="E10" s="58" t="n">
        <v>23.13</v>
      </c>
      <c r="F10" s="59" t="n">
        <f aca="false">E10*10</f>
        <v>231.3</v>
      </c>
    </row>
    <row r="11" customFormat="false" ht="15" hidden="false" customHeight="false" outlineLevel="0" collapsed="false">
      <c r="A11" s="49" t="s">
        <v>258</v>
      </c>
      <c r="B11" s="1" t="s">
        <v>256</v>
      </c>
      <c r="C11" s="58" t="n">
        <v>91.25</v>
      </c>
      <c r="D11" s="59" t="n">
        <f aca="false">C11*10</f>
        <v>912.5</v>
      </c>
      <c r="E11" s="58" t="n">
        <v>91.37</v>
      </c>
      <c r="F11" s="59" t="n">
        <f aca="false">E11*10</f>
        <v>913.7</v>
      </c>
    </row>
    <row r="12" customFormat="false" ht="15" hidden="false" customHeight="false" outlineLevel="0" collapsed="false">
      <c r="A12" s="49" t="s">
        <v>259</v>
      </c>
      <c r="B12" s="1" t="s">
        <v>256</v>
      </c>
      <c r="C12" s="58" t="n">
        <v>10.03</v>
      </c>
      <c r="D12" s="59" t="n">
        <f aca="false">C12*10</f>
        <v>100.3</v>
      </c>
      <c r="E12" s="58" t="n">
        <v>13.54</v>
      </c>
      <c r="F12" s="59" t="n">
        <f aca="false">E12*10</f>
        <v>135.4</v>
      </c>
    </row>
    <row r="13" customFormat="false" ht="15" hidden="false" customHeight="false" outlineLevel="0" collapsed="false">
      <c r="A13" s="49" t="s">
        <v>260</v>
      </c>
      <c r="B13" s="1" t="s">
        <v>261</v>
      </c>
      <c r="C13" s="58" t="n">
        <v>27.22</v>
      </c>
      <c r="D13" s="59" t="n">
        <f aca="false">C13*10</f>
        <v>272.2</v>
      </c>
      <c r="E13" s="58" t="n">
        <v>29.73</v>
      </c>
      <c r="F13" s="59" t="n">
        <f aca="false">E13*10</f>
        <v>297.3</v>
      </c>
    </row>
    <row r="14" customFormat="false" ht="15" hidden="false" customHeight="false" outlineLevel="0" collapsed="false">
      <c r="A14" s="49" t="s">
        <v>262</v>
      </c>
      <c r="B14" s="1" t="s">
        <v>263</v>
      </c>
      <c r="C14" s="58" t="n">
        <v>144.7</v>
      </c>
      <c r="D14" s="59" t="n">
        <f aca="false">C14*10</f>
        <v>1447</v>
      </c>
      <c r="E14" s="58" t="n">
        <v>155.62</v>
      </c>
      <c r="F14" s="59" t="n">
        <f aca="false">E14*10</f>
        <v>1556.2</v>
      </c>
    </row>
    <row r="15" customFormat="false" ht="15" hidden="false" customHeight="false" outlineLevel="0" collapsed="false">
      <c r="A15" s="49" t="s">
        <v>264</v>
      </c>
      <c r="B15" s="1" t="s">
        <v>265</v>
      </c>
      <c r="C15" s="58" t="n">
        <v>513.77</v>
      </c>
      <c r="D15" s="59" t="n">
        <f aca="false">C15*10</f>
        <v>5137.7</v>
      </c>
      <c r="E15" s="58" t="n">
        <v>417.16</v>
      </c>
      <c r="F15" s="59" t="n">
        <f aca="false">E15*10</f>
        <v>4171.6</v>
      </c>
    </row>
    <row r="16" customFormat="false" ht="15" hidden="false" customHeight="false" outlineLevel="0" collapsed="false">
      <c r="A16" s="49" t="s">
        <v>266</v>
      </c>
      <c r="B16" s="1" t="s">
        <v>265</v>
      </c>
      <c r="C16" s="58" t="n">
        <v>104.19</v>
      </c>
      <c r="D16" s="59" t="n">
        <f aca="false">C16*10</f>
        <v>1041.9</v>
      </c>
      <c r="E16" s="58" t="n">
        <v>99.43</v>
      </c>
      <c r="F16" s="59" t="n">
        <f aca="false">E16*10</f>
        <v>994.3</v>
      </c>
    </row>
    <row r="17" customFormat="false" ht="15" hidden="false" customHeight="false" outlineLevel="0" collapsed="false">
      <c r="A17" s="49" t="s">
        <v>267</v>
      </c>
      <c r="B17" s="1" t="s">
        <v>265</v>
      </c>
      <c r="C17" s="58" t="n">
        <v>98.1</v>
      </c>
      <c r="D17" s="59" t="n">
        <f aca="false">C17*10</f>
        <v>981</v>
      </c>
      <c r="E17" s="58" t="n">
        <v>4.42</v>
      </c>
      <c r="F17" s="59" t="n">
        <f aca="false">E17*10</f>
        <v>44.2</v>
      </c>
    </row>
    <row r="18" customFormat="false" ht="15" hidden="false" customHeight="false" outlineLevel="0" collapsed="false">
      <c r="A18" s="49" t="s">
        <v>268</v>
      </c>
      <c r="B18" s="1" t="s">
        <v>265</v>
      </c>
      <c r="C18" s="58" t="n">
        <v>15.45</v>
      </c>
      <c r="D18" s="59" t="n">
        <f aca="false">C18*10</f>
        <v>154.5</v>
      </c>
      <c r="E18" s="58" t="n">
        <v>18.26</v>
      </c>
      <c r="F18" s="59" t="n">
        <f aca="false">E18*10</f>
        <v>182.6</v>
      </c>
    </row>
    <row r="19" customFormat="false" ht="15" hidden="false" customHeight="false" outlineLevel="0" collapsed="false">
      <c r="A19" s="49" t="s">
        <v>269</v>
      </c>
      <c r="B19" s="1" t="s">
        <v>265</v>
      </c>
      <c r="C19" s="58" t="n">
        <v>39.43</v>
      </c>
      <c r="D19" s="59" t="n">
        <f aca="false">C19*10</f>
        <v>394.3</v>
      </c>
      <c r="E19" s="58" t="n">
        <v>34.66</v>
      </c>
      <c r="F19" s="59" t="n">
        <f aca="false">E19*10</f>
        <v>346.6</v>
      </c>
    </row>
    <row r="20" customFormat="false" ht="15" hidden="false" customHeight="false" outlineLevel="0" collapsed="false">
      <c r="A20" s="49" t="s">
        <v>270</v>
      </c>
      <c r="B20" s="1" t="s">
        <v>265</v>
      </c>
      <c r="C20" s="58" t="n">
        <v>1.22</v>
      </c>
      <c r="D20" s="59" t="n">
        <f aca="false">C20*10</f>
        <v>12.2</v>
      </c>
      <c r="E20" s="58" t="n">
        <v>1.64</v>
      </c>
      <c r="F20" s="59" t="n">
        <f aca="false">E20*10</f>
        <v>16.4</v>
      </c>
    </row>
    <row r="21" customFormat="false" ht="15" hidden="false" customHeight="false" outlineLevel="0" collapsed="false">
      <c r="A21" s="49" t="s">
        <v>271</v>
      </c>
      <c r="B21" s="1" t="s">
        <v>265</v>
      </c>
      <c r="C21" s="58" t="n">
        <v>46.82</v>
      </c>
      <c r="D21" s="59" t="n">
        <f aca="false">C21*10</f>
        <v>468.2</v>
      </c>
      <c r="E21" s="58" t="n">
        <v>41.37</v>
      </c>
      <c r="F21" s="59" t="n">
        <f aca="false">E21*10</f>
        <v>413.7</v>
      </c>
    </row>
    <row r="22" customFormat="false" ht="15" hidden="false" customHeight="false" outlineLevel="0" collapsed="false">
      <c r="A22" s="49" t="s">
        <v>272</v>
      </c>
      <c r="B22" s="1" t="s">
        <v>265</v>
      </c>
      <c r="C22" s="58" t="n">
        <v>13.1</v>
      </c>
      <c r="D22" s="59" t="n">
        <f aca="false">C22*10</f>
        <v>131</v>
      </c>
      <c r="E22" s="58" t="n">
        <v>12.25</v>
      </c>
      <c r="F22" s="59" t="n">
        <f aca="false">E22*10</f>
        <v>122.5</v>
      </c>
    </row>
    <row r="23" customFormat="false" ht="15" hidden="false" customHeight="false" outlineLevel="0" collapsed="false">
      <c r="A23" s="49" t="s">
        <v>273</v>
      </c>
      <c r="B23" s="1" t="s">
        <v>265</v>
      </c>
      <c r="C23" s="58" t="n">
        <v>199.94</v>
      </c>
      <c r="D23" s="59" t="n">
        <f aca="false">C23*10</f>
        <v>1999.4</v>
      </c>
      <c r="E23" s="58" t="n">
        <v>242.85</v>
      </c>
      <c r="F23" s="59" t="n">
        <f aca="false">E23*10</f>
        <v>2428.5</v>
      </c>
    </row>
    <row r="24" customFormat="false" ht="15" hidden="false" customHeight="false" outlineLevel="0" collapsed="false">
      <c r="A24" s="49" t="s">
        <v>274</v>
      </c>
      <c r="B24" s="1" t="s">
        <v>265</v>
      </c>
      <c r="C24" s="58" t="n">
        <v>9.91</v>
      </c>
      <c r="D24" s="59" t="n">
        <f aca="false">C24*10</f>
        <v>99.1</v>
      </c>
      <c r="E24" s="58" t="n">
        <v>9.82</v>
      </c>
      <c r="F24" s="59" t="n">
        <f aca="false">E24*10</f>
        <v>98.2</v>
      </c>
    </row>
    <row r="25" customFormat="false" ht="15" hidden="false" customHeight="false" outlineLevel="0" collapsed="false">
      <c r="A25" s="49" t="s">
        <v>275</v>
      </c>
      <c r="B25" s="1" t="s">
        <v>265</v>
      </c>
      <c r="C25" s="58" t="n">
        <v>24.98</v>
      </c>
      <c r="D25" s="59" t="n">
        <f aca="false">C25*10</f>
        <v>249.8</v>
      </c>
      <c r="E25" s="58" t="n">
        <v>42.16</v>
      </c>
      <c r="F25" s="59" t="n">
        <f aca="false">E25*10</f>
        <v>421.6</v>
      </c>
    </row>
    <row r="26" customFormat="false" ht="15" hidden="false" customHeight="false" outlineLevel="0" collapsed="false">
      <c r="A26" s="49" t="s">
        <v>276</v>
      </c>
      <c r="B26" s="1" t="s">
        <v>265</v>
      </c>
      <c r="C26" s="58" t="n">
        <v>19.14</v>
      </c>
      <c r="D26" s="59" t="n">
        <f aca="false">C26*10</f>
        <v>191.4</v>
      </c>
      <c r="E26" s="58" t="n">
        <v>42.93</v>
      </c>
      <c r="F26" s="59" t="n">
        <f aca="false">E26*10</f>
        <v>429.3</v>
      </c>
    </row>
    <row r="27" customFormat="false" ht="15" hidden="false" customHeight="false" outlineLevel="0" collapsed="false">
      <c r="A27" s="49" t="s">
        <v>277</v>
      </c>
      <c r="B27" s="1" t="s">
        <v>265</v>
      </c>
      <c r="C27" s="58" t="n">
        <v>6.28</v>
      </c>
      <c r="D27" s="59" t="n">
        <f aca="false">C27*10</f>
        <v>62.8</v>
      </c>
      <c r="E27" s="58" t="n">
        <v>4.37</v>
      </c>
      <c r="F27" s="59" t="n">
        <f aca="false">E27*10</f>
        <v>43.7</v>
      </c>
    </row>
    <row r="28" customFormat="false" ht="15" hidden="false" customHeight="false" outlineLevel="0" collapsed="false">
      <c r="A28" s="49" t="s">
        <v>278</v>
      </c>
      <c r="B28" s="1" t="s">
        <v>265</v>
      </c>
      <c r="C28" s="58" t="n">
        <v>22.83</v>
      </c>
      <c r="D28" s="59" t="n">
        <f aca="false">C28*10</f>
        <v>228.3</v>
      </c>
      <c r="E28" s="58" t="n">
        <v>23.41</v>
      </c>
      <c r="F28" s="59" t="n">
        <f aca="false">E28*10</f>
        <v>234.1</v>
      </c>
    </row>
    <row r="29" customFormat="false" ht="15" hidden="false" customHeight="false" outlineLevel="0" collapsed="false">
      <c r="A29" s="49" t="s">
        <v>279</v>
      </c>
      <c r="B29" s="1" t="s">
        <v>265</v>
      </c>
      <c r="C29" s="58" t="n">
        <v>6.5</v>
      </c>
      <c r="D29" s="59" t="n">
        <f aca="false">C29*10</f>
        <v>65</v>
      </c>
      <c r="E29" s="58" t="n">
        <v>9.52</v>
      </c>
      <c r="F29" s="59" t="n">
        <f aca="false">E29*10</f>
        <v>95.2</v>
      </c>
    </row>
    <row r="30" customFormat="false" ht="15" hidden="false" customHeight="false" outlineLevel="0" collapsed="false">
      <c r="A30" s="49" t="s">
        <v>280</v>
      </c>
      <c r="B30" s="1" t="s">
        <v>265</v>
      </c>
      <c r="C30" s="58" t="n">
        <v>37.33</v>
      </c>
      <c r="D30" s="59" t="n">
        <f aca="false">C30*10</f>
        <v>373.3</v>
      </c>
      <c r="E30" s="58" t="n">
        <v>37.7</v>
      </c>
      <c r="F30" s="59" t="n">
        <f aca="false">E30*10</f>
        <v>377</v>
      </c>
    </row>
    <row r="31" customFormat="false" ht="15" hidden="false" customHeight="false" outlineLevel="0" collapsed="false">
      <c r="A31" s="49" t="s">
        <v>281</v>
      </c>
      <c r="B31" s="1" t="s">
        <v>265</v>
      </c>
      <c r="C31" s="58" t="n">
        <v>84.6</v>
      </c>
      <c r="D31" s="59" t="n">
        <f aca="false">C31*10</f>
        <v>846</v>
      </c>
      <c r="E31" s="58" t="n">
        <v>-294.93</v>
      </c>
      <c r="F31" s="59" t="n">
        <f aca="false">E31*10</f>
        <v>-2949.3</v>
      </c>
    </row>
    <row r="32" customFormat="false" ht="15" hidden="false" customHeight="false" outlineLevel="0" collapsed="false">
      <c r="A32" s="49" t="s">
        <v>282</v>
      </c>
      <c r="B32" s="1" t="s">
        <v>265</v>
      </c>
      <c r="C32" s="58" t="n">
        <v>93.28</v>
      </c>
      <c r="D32" s="59" t="n">
        <f aca="false">C32*10</f>
        <v>932.8</v>
      </c>
      <c r="E32" s="58" t="n">
        <v>252.09</v>
      </c>
      <c r="F32" s="59" t="n">
        <f aca="false">E32*10</f>
        <v>2520.9</v>
      </c>
    </row>
    <row r="33" customFormat="false" ht="15" hidden="false" customHeight="false" outlineLevel="0" collapsed="false">
      <c r="A33" s="49" t="s">
        <v>283</v>
      </c>
      <c r="B33" s="1" t="s">
        <v>265</v>
      </c>
      <c r="C33" s="58" t="n">
        <v>186.75</v>
      </c>
      <c r="D33" s="59" t="n">
        <f aca="false">C33*10</f>
        <v>1867.5</v>
      </c>
      <c r="E33" s="58" t="n">
        <v>202.65</v>
      </c>
      <c r="F33" s="59" t="n">
        <f aca="false">E33*10</f>
        <v>2026.5</v>
      </c>
    </row>
    <row r="34" customFormat="false" ht="15" hidden="false" customHeight="false" outlineLevel="0" collapsed="false">
      <c r="A34" s="49" t="s">
        <v>284</v>
      </c>
      <c r="B34" s="1" t="s">
        <v>265</v>
      </c>
      <c r="C34" s="58" t="n">
        <v>0.1</v>
      </c>
      <c r="D34" s="59" t="n">
        <f aca="false">C34*10</f>
        <v>1</v>
      </c>
      <c r="E34" s="58" t="n">
        <v>0</v>
      </c>
      <c r="F34" s="59" t="n">
        <f aca="false">E34*10</f>
        <v>0</v>
      </c>
    </row>
    <row r="35" customFormat="false" ht="15" hidden="false" customHeight="false" outlineLevel="0" collapsed="false">
      <c r="A35" s="49" t="s">
        <v>285</v>
      </c>
      <c r="B35" s="1" t="s">
        <v>265</v>
      </c>
      <c r="C35" s="58" t="n">
        <v>5.4</v>
      </c>
      <c r="D35" s="59" t="n">
        <f aca="false">C35*10</f>
        <v>54</v>
      </c>
      <c r="E35" s="58" t="n">
        <v>5.57</v>
      </c>
      <c r="F35" s="59" t="n">
        <f aca="false">E35*10</f>
        <v>55.7</v>
      </c>
    </row>
    <row r="36" customFormat="false" ht="15" hidden="false" customHeight="false" outlineLevel="0" collapsed="false">
      <c r="A36" s="49" t="s">
        <v>286</v>
      </c>
      <c r="B36" s="1" t="s">
        <v>265</v>
      </c>
      <c r="C36" s="58" t="n">
        <v>41.27</v>
      </c>
      <c r="D36" s="59" t="n">
        <f aca="false">C36*10</f>
        <v>412.7</v>
      </c>
      <c r="E36" s="58" t="n">
        <v>10.37</v>
      </c>
      <c r="F36" s="59" t="n">
        <f aca="false">E36*10</f>
        <v>103.7</v>
      </c>
    </row>
    <row r="37" customFormat="false" ht="15" hidden="false" customHeight="false" outlineLevel="0" collapsed="false">
      <c r="A37" s="49" t="s">
        <v>287</v>
      </c>
      <c r="B37" s="1" t="s">
        <v>265</v>
      </c>
      <c r="C37" s="58" t="n">
        <v>9.61</v>
      </c>
      <c r="D37" s="59" t="n">
        <f aca="false">C37*10</f>
        <v>96.1</v>
      </c>
      <c r="E37" s="58" t="n">
        <v>14.71</v>
      </c>
      <c r="F37" s="59" t="n">
        <f aca="false">E37*10</f>
        <v>147.1</v>
      </c>
    </row>
    <row r="38" customFormat="false" ht="15" hidden="false" customHeight="false" outlineLevel="0" collapsed="false">
      <c r="A38" s="49" t="s">
        <v>288</v>
      </c>
      <c r="B38" s="1" t="s">
        <v>265</v>
      </c>
      <c r="C38" s="58" t="n">
        <v>10.83</v>
      </c>
      <c r="D38" s="59" t="n">
        <f aca="false">C38*10</f>
        <v>108.3</v>
      </c>
      <c r="E38" s="58" t="n">
        <v>10.85</v>
      </c>
      <c r="F38" s="59" t="n">
        <f aca="false">E38*10</f>
        <v>108.5</v>
      </c>
    </row>
    <row r="39" customFormat="false" ht="15" hidden="false" customHeight="false" outlineLevel="0" collapsed="false">
      <c r="A39" s="49" t="s">
        <v>289</v>
      </c>
      <c r="B39" s="1" t="s">
        <v>290</v>
      </c>
      <c r="C39" s="58" t="n">
        <v>26.42</v>
      </c>
      <c r="D39" s="59" t="n">
        <f aca="false">C39*10</f>
        <v>264.2</v>
      </c>
      <c r="E39" s="58" t="n">
        <v>0</v>
      </c>
      <c r="F39" s="59" t="n">
        <f aca="false">E39*10</f>
        <v>0</v>
      </c>
    </row>
    <row r="40" customFormat="false" ht="15" hidden="false" customHeight="false" outlineLevel="0" collapsed="false">
      <c r="A40" s="49" t="s">
        <v>291</v>
      </c>
      <c r="B40" s="1" t="s">
        <v>292</v>
      </c>
      <c r="C40" s="58" t="n">
        <v>-97.6</v>
      </c>
      <c r="D40" s="59" t="n">
        <f aca="false">C40*10</f>
        <v>-976</v>
      </c>
      <c r="E40" s="58" t="n">
        <v>69.86</v>
      </c>
      <c r="F40" s="59" t="n">
        <f aca="false">E40*10</f>
        <v>698.6</v>
      </c>
    </row>
    <row r="41" customFormat="false" ht="15" hidden="false" customHeight="false" outlineLevel="0" collapsed="false">
      <c r="A41" s="56" t="s">
        <v>293</v>
      </c>
      <c r="C41" s="60" t="n">
        <f aca="false">SUM(C6:C7)</f>
        <v>3798.1</v>
      </c>
      <c r="D41" s="60" t="n">
        <f aca="false">SUM(D6:D7)</f>
        <v>37981</v>
      </c>
      <c r="E41" s="60" t="n">
        <f aca="false">SUM(E6:E7)</f>
        <v>4011.13</v>
      </c>
      <c r="F41" s="60" t="n">
        <f aca="false">SUM(F6:F7)</f>
        <v>40111.3</v>
      </c>
    </row>
    <row r="42" customFormat="false" ht="15" hidden="false" customHeight="false" outlineLevel="0" collapsed="false">
      <c r="A42" s="4" t="s">
        <v>294</v>
      </c>
      <c r="C42" s="59" t="n">
        <f aca="false">SUM(C15:C38)</f>
        <v>1590.83</v>
      </c>
      <c r="D42" s="59" t="n">
        <f aca="false">SUM(D15:D38)</f>
        <v>15908.3</v>
      </c>
      <c r="E42" s="59" t="n">
        <f aca="false">SUM(E15:E38)</f>
        <v>1243.26</v>
      </c>
      <c r="F42" s="59" t="n">
        <f aca="false">SUM(F15:F38)</f>
        <v>12432.6</v>
      </c>
    </row>
    <row r="43" customFormat="false" ht="15" hidden="false" customHeight="false" outlineLevel="0" collapsed="false">
      <c r="A43" s="4" t="s">
        <v>295</v>
      </c>
      <c r="E43" s="6" t="n">
        <f aca="false">IF(C41=0,0,C6/C41)</f>
        <v>0.683668149864406</v>
      </c>
    </row>
    <row r="44" customFormat="false" ht="15" hidden="false" customHeight="false" outlineLevel="0" collapsed="false">
      <c r="A44" s="4" t="s">
        <v>296</v>
      </c>
      <c r="B44" s="1" t="s">
        <v>297</v>
      </c>
      <c r="C44" s="59" t="n">
        <f aca="false">C41+C8-SUM(C9:C14)-C42-C39</f>
        <v>-432.76</v>
      </c>
      <c r="D44" s="59" t="n">
        <f aca="false">D41+D8-SUM(D9:D14)-D42-D39</f>
        <v>-4327.6</v>
      </c>
      <c r="E44" s="59" t="n">
        <f aca="false">E41+E8-SUM(E9:E14)-E42-E39</f>
        <v>182.48</v>
      </c>
      <c r="F44" s="59" t="n">
        <f aca="false">F41+F8-SUM(F9:F14)-F42-F39</f>
        <v>1824.8</v>
      </c>
    </row>
    <row r="47" customFormat="false" ht="15" hidden="false" customHeight="false" outlineLevel="0" collapsed="false">
      <c r="A47" s="11" t="s">
        <v>298</v>
      </c>
      <c r="B47" s="12"/>
      <c r="C47" s="12"/>
      <c r="D47" s="12"/>
      <c r="E47" s="12"/>
      <c r="F47" s="12"/>
    </row>
    <row r="48" customFormat="false" ht="15" hidden="false" customHeight="false" outlineLevel="0" collapsed="false">
      <c r="A48" s="49" t="s">
        <v>299</v>
      </c>
      <c r="B48" s="1" t="s">
        <v>300</v>
      </c>
      <c r="C48" s="58" t="n">
        <v>1599.1</v>
      </c>
      <c r="D48" s="59" t="n">
        <f aca="false">C48*10</f>
        <v>15991</v>
      </c>
      <c r="E48" s="58" t="n">
        <v>1869.42</v>
      </c>
      <c r="F48" s="59" t="n">
        <f aca="false">E48*10</f>
        <v>18694.2</v>
      </c>
    </row>
    <row r="49" customFormat="false" ht="15" hidden="false" customHeight="false" outlineLevel="0" collapsed="false">
      <c r="A49" s="49" t="s">
        <v>301</v>
      </c>
      <c r="B49" s="1" t="s">
        <v>302</v>
      </c>
      <c r="C49" s="58" t="n">
        <v>1292.49</v>
      </c>
      <c r="D49" s="59" t="n">
        <f aca="false">C49*10</f>
        <v>12924.9</v>
      </c>
      <c r="E49" s="58" t="n">
        <v>1235.84</v>
      </c>
      <c r="F49" s="59" t="n">
        <f aca="false">E49*10</f>
        <v>12358.4</v>
      </c>
    </row>
    <row r="50" customFormat="false" ht="15" hidden="false" customHeight="false" outlineLevel="0" collapsed="false">
      <c r="A50" s="49" t="s">
        <v>303</v>
      </c>
      <c r="B50" s="1" t="s">
        <v>304</v>
      </c>
      <c r="C50" s="58" t="n">
        <v>387.81</v>
      </c>
      <c r="D50" s="59" t="n">
        <f aca="false">C50*10</f>
        <v>3878.1</v>
      </c>
      <c r="E50" s="58" t="n">
        <v>375.46</v>
      </c>
      <c r="F50" s="59" t="n">
        <f aca="false">E50*10</f>
        <v>3754.6</v>
      </c>
    </row>
    <row r="51" customFormat="false" ht="15" hidden="false" customHeight="false" outlineLevel="0" collapsed="false">
      <c r="A51" s="49" t="s">
        <v>305</v>
      </c>
      <c r="B51" s="1" t="s">
        <v>306</v>
      </c>
      <c r="C51" s="58" t="n">
        <v>344.52</v>
      </c>
      <c r="D51" s="59" t="n">
        <f aca="false">C51*10</f>
        <v>3445.2</v>
      </c>
      <c r="E51" s="58" t="n">
        <v>219.31</v>
      </c>
      <c r="F51" s="59" t="n">
        <f aca="false">E51*10</f>
        <v>2193.1</v>
      </c>
    </row>
    <row r="52" customFormat="false" ht="15" hidden="false" customHeight="false" outlineLevel="0" collapsed="false">
      <c r="A52" s="49" t="s">
        <v>307</v>
      </c>
      <c r="B52" s="1" t="s">
        <v>308</v>
      </c>
      <c r="C52" s="58" t="n">
        <v>432.49</v>
      </c>
      <c r="D52" s="59" t="n">
        <f aca="false">C52*10</f>
        <v>4324.9</v>
      </c>
      <c r="E52" s="58" t="n">
        <v>290.8</v>
      </c>
      <c r="F52" s="59" t="n">
        <f aca="false">E52*10</f>
        <v>2908</v>
      </c>
    </row>
    <row r="53" customFormat="false" ht="15" hidden="false" customHeight="false" outlineLevel="0" collapsed="false">
      <c r="A53" s="49" t="s">
        <v>309</v>
      </c>
      <c r="B53" s="1" t="s">
        <v>310</v>
      </c>
      <c r="C53" s="58" t="n">
        <v>104.46</v>
      </c>
      <c r="D53" s="59" t="n">
        <f aca="false">C53*10</f>
        <v>1044.6</v>
      </c>
      <c r="E53" s="58" t="n">
        <v>131.29</v>
      </c>
      <c r="F53" s="59" t="n">
        <f aca="false">E53*10</f>
        <v>1312.9</v>
      </c>
    </row>
    <row r="54" customFormat="false" ht="15" hidden="false" customHeight="false" outlineLevel="0" collapsed="false">
      <c r="A54" s="49" t="s">
        <v>311</v>
      </c>
      <c r="B54" s="1" t="s">
        <v>312</v>
      </c>
      <c r="C54" s="58" t="n">
        <v>42.58</v>
      </c>
      <c r="D54" s="59" t="n">
        <f aca="false">C54*10</f>
        <v>425.8</v>
      </c>
      <c r="E54" s="58" t="n">
        <v>41.1</v>
      </c>
      <c r="F54" s="59" t="n">
        <f aca="false">E54*10</f>
        <v>411</v>
      </c>
    </row>
    <row r="55" customFormat="false" ht="15" hidden="false" customHeight="false" outlineLevel="0" collapsed="false">
      <c r="A55" s="49" t="s">
        <v>313</v>
      </c>
      <c r="B55" s="1" t="s">
        <v>314</v>
      </c>
      <c r="C55" s="58" t="n">
        <v>374.51</v>
      </c>
      <c r="D55" s="59" t="n">
        <f aca="false">C55*10</f>
        <v>3745.1</v>
      </c>
      <c r="E55" s="58" t="n">
        <v>397</v>
      </c>
      <c r="F55" s="59" t="n">
        <f aca="false">E55*10</f>
        <v>3970</v>
      </c>
    </row>
    <row r="56" customFormat="false" ht="15" hidden="false" customHeight="false" outlineLevel="0" collapsed="false">
      <c r="A56" s="49" t="s">
        <v>315</v>
      </c>
      <c r="B56" s="1" t="s">
        <v>316</v>
      </c>
      <c r="C56" s="58" t="n">
        <v>0</v>
      </c>
      <c r="D56" s="59" t="n">
        <f aca="false">C56*10</f>
        <v>0</v>
      </c>
      <c r="E56" s="58" t="n">
        <v>50</v>
      </c>
      <c r="F56" s="59" t="n">
        <f aca="false">E56*10</f>
        <v>500</v>
      </c>
    </row>
    <row r="57" customFormat="false" ht="15" hidden="false" customHeight="false" outlineLevel="0" collapsed="false">
      <c r="A57" s="49" t="s">
        <v>317</v>
      </c>
      <c r="B57" s="1" t="s">
        <v>318</v>
      </c>
      <c r="C57" s="58" t="n">
        <v>2767.21</v>
      </c>
      <c r="D57" s="59" t="n">
        <f aca="false">C57*10</f>
        <v>27672.1</v>
      </c>
      <c r="E57" s="58" t="n">
        <v>2915.33</v>
      </c>
      <c r="F57" s="59" t="n">
        <f aca="false">E57*10</f>
        <v>29153.3</v>
      </c>
    </row>
    <row r="58" customFormat="false" ht="15" hidden="false" customHeight="false" outlineLevel="0" collapsed="false">
      <c r="A58" s="11" t="s">
        <v>319</v>
      </c>
      <c r="B58" s="12"/>
      <c r="C58" s="12"/>
      <c r="D58" s="12"/>
      <c r="E58" s="12"/>
      <c r="F58" s="12"/>
    </row>
    <row r="59" customFormat="false" ht="15" hidden="false" customHeight="false" outlineLevel="0" collapsed="false">
      <c r="A59" s="49" t="s">
        <v>320</v>
      </c>
      <c r="B59" s="1" t="s">
        <v>321</v>
      </c>
      <c r="C59" s="58" t="n">
        <v>275.34</v>
      </c>
      <c r="D59" s="59" t="n">
        <f aca="false">C59*10</f>
        <v>2753.4</v>
      </c>
      <c r="E59" s="58" t="n">
        <v>59.92</v>
      </c>
      <c r="F59" s="59" t="n">
        <f aca="false">E59*10</f>
        <v>599.2</v>
      </c>
    </row>
    <row r="60" customFormat="false" ht="15" hidden="false" customHeight="false" outlineLevel="0" collapsed="false">
      <c r="A60" s="49" t="s">
        <v>322</v>
      </c>
      <c r="B60" s="1" t="s">
        <v>321</v>
      </c>
      <c r="C60" s="58" t="n">
        <v>73.57</v>
      </c>
      <c r="D60" s="59" t="n">
        <f aca="false">C60*10</f>
        <v>735.7</v>
      </c>
      <c r="E60" s="58" t="n">
        <v>74.45</v>
      </c>
      <c r="F60" s="59" t="n">
        <f aca="false">E60*10</f>
        <v>744.5</v>
      </c>
    </row>
    <row r="61" customFormat="false" ht="15" hidden="false" customHeight="false" outlineLevel="0" collapsed="false">
      <c r="A61" s="49" t="s">
        <v>323</v>
      </c>
      <c r="B61" s="1" t="s">
        <v>321</v>
      </c>
      <c r="C61" s="58" t="n">
        <v>26.77</v>
      </c>
      <c r="D61" s="59" t="n">
        <f aca="false">C61*10</f>
        <v>267.7</v>
      </c>
      <c r="E61" s="58" t="n">
        <v>29.43</v>
      </c>
      <c r="F61" s="59" t="n">
        <f aca="false">E61*10</f>
        <v>294.3</v>
      </c>
    </row>
    <row r="62" customFormat="false" ht="15" hidden="false" customHeight="false" outlineLevel="0" collapsed="false">
      <c r="A62" s="49" t="s">
        <v>324</v>
      </c>
      <c r="B62" s="1" t="s">
        <v>321</v>
      </c>
      <c r="C62" s="58" t="n">
        <v>15.09</v>
      </c>
      <c r="D62" s="59" t="n">
        <f aca="false">C62*10</f>
        <v>150.9</v>
      </c>
      <c r="E62" s="58" t="n">
        <v>38.08</v>
      </c>
      <c r="F62" s="59" t="n">
        <f aca="false">E62*10</f>
        <v>380.8</v>
      </c>
    </row>
    <row r="64" customFormat="false" ht="15" hidden="false" customHeight="false" outlineLevel="0" collapsed="false">
      <c r="A64" s="1" t="s">
        <v>325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46" activePane="bottomRight" state="frozen"/>
      <selection pane="topLeft" activeCell="A1" activeCellId="0" sqref="A1"/>
      <selection pane="topRight" activeCell="C1" activeCellId="0" sqref="C1"/>
      <selection pane="bottomLeft" activeCell="A46" activeCellId="0" sqref="A4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13"/>
    <col collapsed="false" customWidth="true" hidden="false" outlineLevel="0" max="16" min="4" style="0" width="11.43"/>
    <col collapsed="false" customWidth="true" hidden="false" outlineLevel="0" max="17" min="17" style="0" width="13"/>
    <col collapsed="false" customWidth="true" hidden="false" outlineLevel="0" max="20" min="18" style="0" width="11.43"/>
    <col collapsed="false" customWidth="true" hidden="false" outlineLevel="0" max="21" min="21" style="0" width="2"/>
    <col collapsed="false" customWidth="true" hidden="false" outlineLevel="0" max="27" min="22" style="0" width="11.43"/>
    <col collapsed="false" customWidth="true" hidden="false" outlineLevel="0" max="29" min="28" style="0" width="13"/>
    <col collapsed="false" customWidth="true" hidden="false" outlineLevel="0" max="30" min="30" style="0" width="11.43"/>
  </cols>
  <sheetData>
    <row r="1" customFormat="false" ht="15" hidden="false" customHeight="false" outlineLevel="0" collapsed="false">
      <c r="A1" s="1" t="s">
        <v>0</v>
      </c>
    </row>
    <row r="2" customFormat="false" ht="16.5" hidden="false" customHeight="true" outlineLevel="0" collapsed="false">
      <c r="A2" s="2" t="s">
        <v>326</v>
      </c>
    </row>
    <row r="3" customFormat="false" ht="15" hidden="false" customHeight="false" outlineLevel="0" collapsed="false">
      <c r="A3" s="1" t="s">
        <v>2</v>
      </c>
    </row>
    <row r="5" customFormat="false" ht="30" hidden="false" customHeight="true" outlineLevel="0" collapsed="false">
      <c r="B5" s="3" t="s">
        <v>3</v>
      </c>
      <c r="C5" s="3" t="s">
        <v>327</v>
      </c>
      <c r="D5" s="3" t="s">
        <v>328</v>
      </c>
      <c r="E5" s="61" t="n">
        <v>46113</v>
      </c>
      <c r="F5" s="61" t="n">
        <v>46143</v>
      </c>
      <c r="G5" s="61" t="n">
        <v>46174</v>
      </c>
      <c r="H5" s="61" t="n">
        <v>46204</v>
      </c>
      <c r="I5" s="61" t="n">
        <v>46235</v>
      </c>
      <c r="J5" s="61" t="n">
        <v>46266</v>
      </c>
      <c r="K5" s="61" t="n">
        <v>46296</v>
      </c>
      <c r="L5" s="61" t="n">
        <v>46327</v>
      </c>
      <c r="M5" s="61" t="n">
        <v>46357</v>
      </c>
      <c r="N5" s="61" t="n">
        <v>46388</v>
      </c>
      <c r="O5" s="61" t="n">
        <v>46419</v>
      </c>
      <c r="P5" s="61" t="n">
        <v>46447</v>
      </c>
      <c r="Q5" s="3" t="s">
        <v>329</v>
      </c>
      <c r="R5" s="3" t="s">
        <v>328</v>
      </c>
      <c r="S5" s="3" t="s">
        <v>330</v>
      </c>
      <c r="T5" s="3" t="s">
        <v>331</v>
      </c>
      <c r="V5" s="61" t="n">
        <v>46478</v>
      </c>
      <c r="W5" s="61" t="n">
        <v>46508</v>
      </c>
      <c r="X5" s="61" t="n">
        <v>46539</v>
      </c>
      <c r="Y5" s="61" t="n">
        <v>46569</v>
      </c>
      <c r="Z5" s="61" t="n">
        <v>46600</v>
      </c>
      <c r="AA5" s="61" t="n">
        <v>46631</v>
      </c>
      <c r="AB5" s="3" t="s">
        <v>332</v>
      </c>
      <c r="AC5" s="3" t="s">
        <v>333</v>
      </c>
      <c r="AD5" s="3" t="s">
        <v>334</v>
      </c>
    </row>
    <row r="6" customFormat="false" ht="15" hidden="false" customHeight="false" outlineLevel="0" collapsed="false">
      <c r="B6" s="1" t="s">
        <v>335</v>
      </c>
      <c r="C6" s="62" t="s">
        <v>336</v>
      </c>
      <c r="D6" s="62"/>
      <c r="E6" s="62" t="s">
        <v>337</v>
      </c>
      <c r="F6" s="62" t="s">
        <v>337</v>
      </c>
      <c r="G6" s="62" t="s">
        <v>337</v>
      </c>
      <c r="H6" s="62" t="s">
        <v>337</v>
      </c>
      <c r="I6" s="62" t="s">
        <v>337</v>
      </c>
      <c r="J6" s="62" t="s">
        <v>337</v>
      </c>
      <c r="K6" s="62" t="s">
        <v>337</v>
      </c>
      <c r="L6" s="62" t="s">
        <v>337</v>
      </c>
      <c r="M6" s="62" t="s">
        <v>337</v>
      </c>
      <c r="N6" s="62" t="s">
        <v>337</v>
      </c>
      <c r="O6" s="62" t="s">
        <v>337</v>
      </c>
      <c r="P6" s="62" t="s">
        <v>337</v>
      </c>
      <c r="Q6" s="62" t="s">
        <v>337</v>
      </c>
      <c r="R6" s="62"/>
      <c r="S6" s="62"/>
      <c r="T6" s="62"/>
      <c r="U6" s="62"/>
      <c r="V6" s="62" t="s">
        <v>338</v>
      </c>
      <c r="W6" s="62" t="s">
        <v>338</v>
      </c>
      <c r="X6" s="62" t="s">
        <v>338</v>
      </c>
      <c r="Y6" s="62" t="s">
        <v>338</v>
      </c>
      <c r="Z6" s="62" t="s">
        <v>338</v>
      </c>
      <c r="AA6" s="62" t="s">
        <v>338</v>
      </c>
      <c r="AB6" s="62" t="s">
        <v>338</v>
      </c>
      <c r="AC6" s="62" t="s">
        <v>338</v>
      </c>
      <c r="AD6" s="62"/>
    </row>
    <row r="8" customFormat="false" ht="15" hidden="false" customHeight="false" outlineLevel="0" collapsed="false">
      <c r="B8" s="11" t="s">
        <v>339</v>
      </c>
      <c r="C8" s="12"/>
      <c r="D8" s="12"/>
      <c r="E8" s="12"/>
      <c r="F8" s="12"/>
      <c r="G8" s="12"/>
      <c r="H8" s="12"/>
      <c r="I8" s="12"/>
      <c r="J8" s="12"/>
      <c r="K8" s="12"/>
      <c r="L8" s="12"/>
      <c r="M8" s="12"/>
      <c r="N8" s="12"/>
      <c r="O8" s="12"/>
      <c r="P8" s="12"/>
      <c r="Q8" s="12"/>
      <c r="R8" s="12"/>
      <c r="S8" s="12"/>
      <c r="T8" s="12"/>
      <c r="V8" s="12"/>
      <c r="W8" s="12"/>
      <c r="X8" s="12"/>
      <c r="Y8" s="12"/>
      <c r="Z8" s="12"/>
      <c r="AA8" s="12"/>
      <c r="AB8" s="12"/>
      <c r="AC8" s="12"/>
      <c r="AD8" s="12"/>
    </row>
    <row r="9" customFormat="false" ht="15" hidden="false" customHeight="false" outlineLevel="0" collapsed="false">
      <c r="B9" s="49" t="s">
        <v>340</v>
      </c>
      <c r="C9" s="5" t="n">
        <f aca="false">'FY26 Actual'!D6</f>
        <v>25966.4</v>
      </c>
      <c r="D9" s="6" t="n">
        <f aca="false">IF($C$11=0,0,C9/$C$11)</f>
        <v>0.683668149864406</v>
      </c>
      <c r="E9" s="59" t="n">
        <f aca="false">Assumptions!$B$7*Assumptions!$B$11*Assumptions!B$58</f>
        <v>2266.53083383797</v>
      </c>
      <c r="F9" s="59" t="n">
        <f aca="false">Assumptions!$B$7*Assumptions!$B$11*Assumptions!C$58</f>
        <v>1469.44213791106</v>
      </c>
      <c r="G9" s="59" t="n">
        <f aca="false">Assumptions!$B$7*Assumptions!$B$11*Assumptions!D$58</f>
        <v>1907.53668834417</v>
      </c>
      <c r="H9" s="59" t="n">
        <f aca="false">Assumptions!$B$7*Assumptions!$B$11*Assumptions!E$58</f>
        <v>2169.17648929728</v>
      </c>
      <c r="I9" s="59" t="n">
        <f aca="false">Assumptions!$B$7*Assumptions!$B$11*Assumptions!F$58</f>
        <v>2299.99638977383</v>
      </c>
      <c r="J9" s="59" t="n">
        <f aca="false">Assumptions!$B$7*Assumptions!$B$11*Assumptions!G$58</f>
        <v>2442.98558331797</v>
      </c>
      <c r="K9" s="59" t="n">
        <f aca="false">Assumptions!$B$7*Assumptions!$B$11*Assumptions!H$58</f>
        <v>2610.31336299729</v>
      </c>
      <c r="L9" s="59" t="n">
        <f aca="false">Assumptions!$B$7*Assumptions!$B$11*Assumptions!I$58</f>
        <v>2640.73659566625</v>
      </c>
      <c r="M9" s="59" t="n">
        <f aca="false">Assumptions!$B$7*Assumptions!$B$11*Assumptions!J$58</f>
        <v>2707.66770753798</v>
      </c>
      <c r="N9" s="59" t="n">
        <f aca="false">Assumptions!$B$7*Assumptions!$B$11*Assumptions!K$58</f>
        <v>3173.14316737316</v>
      </c>
      <c r="O9" s="59" t="n">
        <f aca="false">Assumptions!$B$7*Assumptions!$B$11*Assumptions!L$58</f>
        <v>3303.96306784971</v>
      </c>
      <c r="P9" s="59" t="n">
        <f aca="false">Assumptions!$B$7*Assumptions!$B$11*Assumptions!M$58</f>
        <v>3431.74064505937</v>
      </c>
      <c r="Q9" s="59" t="n">
        <f aca="false">SUM(E9:P9)</f>
        <v>30423.2326689661</v>
      </c>
      <c r="R9" s="6" t="n">
        <f aca="false">IF($Q$11=0,0,Q9/$Q$11)</f>
        <v>0.683668149864406</v>
      </c>
      <c r="S9" s="59" t="n">
        <f aca="false">Q9-C9</f>
        <v>4456.83266896606</v>
      </c>
      <c r="T9" s="6" t="n">
        <f aca="false">IF(C9=0,0,S9/ABS(C9))</f>
        <v>0.17163845080435</v>
      </c>
      <c r="V9" s="59" t="n">
        <f aca="false">$Q9*(1+Assumptions!$B$42)/12</f>
        <v>2788.79632798856</v>
      </c>
      <c r="W9" s="59" t="n">
        <f aca="false">$Q9*(1+Assumptions!$B$42)/12</f>
        <v>2788.79632798856</v>
      </c>
      <c r="X9" s="59" t="n">
        <f aca="false">$Q9*(1+Assumptions!$B$42)/12</f>
        <v>2788.79632798856</v>
      </c>
      <c r="Y9" s="59" t="n">
        <f aca="false">$Q9*(1+Assumptions!$B$42)/12</f>
        <v>2788.79632798856</v>
      </c>
      <c r="Z9" s="59" t="n">
        <f aca="false">$Q9*(1+Assumptions!$B$42)/12</f>
        <v>2788.79632798856</v>
      </c>
      <c r="AA9" s="59" t="n">
        <f aca="false">$Q9*(1+Assumptions!$B$42)/12</f>
        <v>2788.79632798856</v>
      </c>
      <c r="AB9" s="59" t="n">
        <f aca="false">SUM(V9:AA9)</f>
        <v>16732.7779679313</v>
      </c>
      <c r="AC9" s="59" t="n">
        <f aca="false">AB9*12/6</f>
        <v>33465.5559358627</v>
      </c>
      <c r="AD9" s="6" t="n">
        <f aca="false">IF(Q9=0,0,AC9/Q9-1)</f>
        <v>0.1</v>
      </c>
    </row>
    <row r="10" customFormat="false" ht="15" hidden="false" customHeight="false" outlineLevel="0" collapsed="false">
      <c r="B10" s="49" t="s">
        <v>341</v>
      </c>
      <c r="C10" s="5" t="n">
        <f aca="false">'FY26 Actual'!D7</f>
        <v>12014.6</v>
      </c>
      <c r="D10" s="6" t="n">
        <f aca="false">IF($C$11=0,0,C10/$C$11)</f>
        <v>0.316331850135594</v>
      </c>
      <c r="E10" s="59" t="n">
        <f aca="false">Assumptions!$B$7*Assumptions!$B$12*Assumptions!B$58</f>
        <v>1048.71916616203</v>
      </c>
      <c r="F10" s="59" t="n">
        <f aca="false">Assumptions!$B$7*Assumptions!$B$12*Assumptions!C$58</f>
        <v>679.907862088939</v>
      </c>
      <c r="G10" s="59" t="n">
        <f aca="false">Assumptions!$B$7*Assumptions!$B$12*Assumptions!D$58</f>
        <v>882.613311655828</v>
      </c>
      <c r="H10" s="59" t="n">
        <f aca="false">Assumptions!$B$7*Assumptions!$B$12*Assumptions!E$58</f>
        <v>1003.67351070272</v>
      </c>
      <c r="I10" s="59" t="n">
        <f aca="false">Assumptions!$B$7*Assumptions!$B$12*Assumptions!F$58</f>
        <v>1064.20361022617</v>
      </c>
      <c r="J10" s="59" t="n">
        <f aca="false">Assumptions!$B$7*Assumptions!$B$12*Assumptions!G$58</f>
        <v>1130.36441668203</v>
      </c>
      <c r="K10" s="59" t="n">
        <f aca="false">Assumptions!$B$7*Assumptions!$B$12*Assumptions!H$58</f>
        <v>1207.78663700271</v>
      </c>
      <c r="L10" s="59" t="n">
        <f aca="false">Assumptions!$B$7*Assumptions!$B$12*Assumptions!I$58</f>
        <v>1221.86340433375</v>
      </c>
      <c r="M10" s="59" t="n">
        <f aca="false">Assumptions!$B$7*Assumptions!$B$12*Assumptions!J$58</f>
        <v>1252.83229246202</v>
      </c>
      <c r="N10" s="59" t="n">
        <f aca="false">Assumptions!$B$7*Assumptions!$B$12*Assumptions!K$58</f>
        <v>1468.20683262684</v>
      </c>
      <c r="O10" s="59" t="n">
        <f aca="false">Assumptions!$B$7*Assumptions!$B$12*Assumptions!L$58</f>
        <v>1528.73693215029</v>
      </c>
      <c r="P10" s="59" t="n">
        <f aca="false">Assumptions!$B$7*Assumptions!$B$12*Assumptions!M$58</f>
        <v>1587.85935494063</v>
      </c>
      <c r="Q10" s="59" t="n">
        <f aca="false">SUM(E10:P10)</f>
        <v>14076.7673310339</v>
      </c>
      <c r="R10" s="6" t="n">
        <f aca="false">IF($Q$11=0,0,Q10/$Q$11)</f>
        <v>0.316331850135594</v>
      </c>
      <c r="S10" s="59" t="n">
        <f aca="false">Q10-C10</f>
        <v>2062.16733103394</v>
      </c>
      <c r="T10" s="6" t="n">
        <f aca="false">IF(C10=0,0,S10/ABS(C10))</f>
        <v>0.17163845080435</v>
      </c>
      <c r="V10" s="59" t="n">
        <f aca="false">$Q10*(1+Assumptions!$B$42)/12</f>
        <v>1290.37033867811</v>
      </c>
      <c r="W10" s="59" t="n">
        <f aca="false">$Q10*(1+Assumptions!$B$42)/12</f>
        <v>1290.37033867811</v>
      </c>
      <c r="X10" s="59" t="n">
        <f aca="false">$Q10*(1+Assumptions!$B$42)/12</f>
        <v>1290.37033867811</v>
      </c>
      <c r="Y10" s="59" t="n">
        <f aca="false">$Q10*(1+Assumptions!$B$42)/12</f>
        <v>1290.37033867811</v>
      </c>
      <c r="Z10" s="59" t="n">
        <f aca="false">$Q10*(1+Assumptions!$B$42)/12</f>
        <v>1290.37033867811</v>
      </c>
      <c r="AA10" s="59" t="n">
        <f aca="false">$Q10*(1+Assumptions!$B$42)/12</f>
        <v>1290.37033867811</v>
      </c>
      <c r="AB10" s="59" t="n">
        <f aca="false">SUM(V10:AA10)</f>
        <v>7742.22203206867</v>
      </c>
      <c r="AC10" s="59" t="n">
        <f aca="false">AB10*12/6</f>
        <v>15484.4440641373</v>
      </c>
      <c r="AD10" s="6" t="n">
        <f aca="false">IF(Q10=0,0,AC10/Q10-1)</f>
        <v>0.1</v>
      </c>
    </row>
    <row r="11" customFormat="false" ht="15" hidden="false" customHeight="false" outlineLevel="0" collapsed="false">
      <c r="B11" s="63" t="s">
        <v>342</v>
      </c>
      <c r="C11" s="64" t="n">
        <f aca="false">SUM(C9:C10)</f>
        <v>37981</v>
      </c>
      <c r="D11" s="65" t="n">
        <f aca="false">IF($C$11=0,0,C11/$C$11)</f>
        <v>1</v>
      </c>
      <c r="E11" s="64" t="n">
        <f aca="false">SUM(E9:E10)</f>
        <v>3315.25</v>
      </c>
      <c r="F11" s="64" t="n">
        <f aca="false">SUM(F9:F10)</f>
        <v>2149.35</v>
      </c>
      <c r="G11" s="64" t="n">
        <f aca="false">SUM(G9:G10)</f>
        <v>2790.15</v>
      </c>
      <c r="H11" s="64" t="n">
        <f aca="false">SUM(H9:H10)</f>
        <v>3172.85</v>
      </c>
      <c r="I11" s="64" t="n">
        <f aca="false">SUM(I9:I10)</f>
        <v>3364.2</v>
      </c>
      <c r="J11" s="64" t="n">
        <f aca="false">SUM(J9:J10)</f>
        <v>3573.35</v>
      </c>
      <c r="K11" s="64" t="n">
        <f aca="false">SUM(K9:K10)</f>
        <v>3818.1</v>
      </c>
      <c r="L11" s="64" t="n">
        <f aca="false">SUM(L9:L10)</f>
        <v>3862.6</v>
      </c>
      <c r="M11" s="64" t="n">
        <f aca="false">SUM(M9:M10)</f>
        <v>3960.5</v>
      </c>
      <c r="N11" s="64" t="n">
        <f aca="false">SUM(N9:N10)</f>
        <v>4641.35</v>
      </c>
      <c r="O11" s="64" t="n">
        <f aca="false">SUM(O9:O10)</f>
        <v>4832.7</v>
      </c>
      <c r="P11" s="64" t="n">
        <f aca="false">SUM(P9:P10)</f>
        <v>5019.6</v>
      </c>
      <c r="Q11" s="64" t="n">
        <f aca="false">SUM(Q9:Q10)</f>
        <v>44500</v>
      </c>
      <c r="R11" s="65" t="n">
        <f aca="false">IF($Q$11=0,0,Q11/$Q$11)</f>
        <v>1</v>
      </c>
      <c r="S11" s="64" t="n">
        <f aca="false">Q11-C11</f>
        <v>6519</v>
      </c>
      <c r="T11" s="65" t="n">
        <f aca="false">IF(C11=0,0,S11/ABS(C11))</f>
        <v>0.17163845080435</v>
      </c>
      <c r="V11" s="64" t="n">
        <f aca="false">SUM(V9:V10)</f>
        <v>4079.16666666667</v>
      </c>
      <c r="W11" s="64" t="n">
        <f aca="false">SUM(W9:W10)</f>
        <v>4079.16666666667</v>
      </c>
      <c r="X11" s="64" t="n">
        <f aca="false">SUM(X9:X10)</f>
        <v>4079.16666666667</v>
      </c>
      <c r="Y11" s="64" t="n">
        <f aca="false">SUM(Y9:Y10)</f>
        <v>4079.16666666667</v>
      </c>
      <c r="Z11" s="64" t="n">
        <f aca="false">SUM(Z9:Z10)</f>
        <v>4079.16666666667</v>
      </c>
      <c r="AA11" s="64" t="n">
        <f aca="false">SUM(AA9:AA10)</f>
        <v>4079.16666666667</v>
      </c>
      <c r="AB11" s="64" t="n">
        <f aca="false">SUM(AB9:AB10)</f>
        <v>24475</v>
      </c>
      <c r="AC11" s="64" t="n">
        <f aca="false">AB11*12/6</f>
        <v>48950</v>
      </c>
      <c r="AD11" s="65" t="n">
        <f aca="false">IF(Q11=0,0,AC11/Q11-1)</f>
        <v>0.1</v>
      </c>
    </row>
    <row r="12" customFormat="false" ht="15" hidden="false" customHeight="false" outlineLevel="0" collapsed="false">
      <c r="B12" s="49" t="s">
        <v>343</v>
      </c>
      <c r="C12" s="50" t="n">
        <v>0</v>
      </c>
      <c r="D12" s="6" t="n">
        <f aca="false">IF($C$11=0,0,C12/$C$11)</f>
        <v>0</v>
      </c>
      <c r="E12" s="59" t="n">
        <f aca="false">E11*Assumptions!$B$10</f>
        <v>96.85</v>
      </c>
      <c r="F12" s="59" t="n">
        <f aca="false">F11*Assumptions!$B$10</f>
        <v>62.79</v>
      </c>
      <c r="G12" s="59" t="n">
        <f aca="false">G11*Assumptions!$B$10</f>
        <v>81.51</v>
      </c>
      <c r="H12" s="59" t="n">
        <f aca="false">H11*Assumptions!$B$10</f>
        <v>92.69</v>
      </c>
      <c r="I12" s="59" t="n">
        <f aca="false">I11*Assumptions!$B$10</f>
        <v>98.28</v>
      </c>
      <c r="J12" s="59" t="n">
        <f aca="false">J11*Assumptions!$B$10</f>
        <v>104.39</v>
      </c>
      <c r="K12" s="59" t="n">
        <f aca="false">K11*Assumptions!$B$10</f>
        <v>111.54</v>
      </c>
      <c r="L12" s="59" t="n">
        <f aca="false">L11*Assumptions!$B$10</f>
        <v>112.84</v>
      </c>
      <c r="M12" s="59" t="n">
        <f aca="false">M11*Assumptions!$B$10</f>
        <v>115.7</v>
      </c>
      <c r="N12" s="59" t="n">
        <f aca="false">N11*Assumptions!$B$10</f>
        <v>135.59</v>
      </c>
      <c r="O12" s="59" t="n">
        <f aca="false">O11*Assumptions!$B$10</f>
        <v>141.18</v>
      </c>
      <c r="P12" s="59" t="n">
        <f aca="false">P11*Assumptions!$B$10</f>
        <v>146.64</v>
      </c>
      <c r="Q12" s="59" t="n">
        <f aca="false">SUM(E12:P12)</f>
        <v>1300</v>
      </c>
      <c r="R12" s="6" t="n">
        <f aca="false">IF($Q$11=0,0,Q12/$Q$11)</f>
        <v>0.0292134831460674</v>
      </c>
      <c r="S12" s="59" t="n">
        <f aca="false">Q12-C12</f>
        <v>1300</v>
      </c>
      <c r="T12" s="6" t="n">
        <f aca="false">IF(C12=0,0,S12/ABS(C12))</f>
        <v>0</v>
      </c>
      <c r="V12" s="59" t="n">
        <f aca="false">$Q12*(1+Assumptions!$B$42)/12</f>
        <v>119.166666666667</v>
      </c>
      <c r="W12" s="59" t="n">
        <f aca="false">$Q12*(1+Assumptions!$B$42)/12</f>
        <v>119.166666666667</v>
      </c>
      <c r="X12" s="59" t="n">
        <f aca="false">$Q12*(1+Assumptions!$B$42)/12</f>
        <v>119.166666666667</v>
      </c>
      <c r="Y12" s="59" t="n">
        <f aca="false">$Q12*(1+Assumptions!$B$42)/12</f>
        <v>119.166666666667</v>
      </c>
      <c r="Z12" s="59" t="n">
        <f aca="false">$Q12*(1+Assumptions!$B$42)/12</f>
        <v>119.166666666667</v>
      </c>
      <c r="AA12" s="59" t="n">
        <f aca="false">$Q12*(1+Assumptions!$B$42)/12</f>
        <v>119.166666666667</v>
      </c>
      <c r="AB12" s="59" t="n">
        <f aca="false">SUM(V12:AA12)</f>
        <v>715</v>
      </c>
      <c r="AC12" s="59" t="n">
        <f aca="false">AB12*12/6</f>
        <v>1430</v>
      </c>
      <c r="AD12" s="6" t="n">
        <f aca="false">IF(Q12=0,0,AC12/Q12-1)</f>
        <v>0.1</v>
      </c>
    </row>
    <row r="13" customFormat="false" ht="15" hidden="false" customHeight="false" outlineLevel="0" collapsed="false">
      <c r="B13" s="63" t="s">
        <v>344</v>
      </c>
      <c r="C13" s="64" t="n">
        <f aca="false">C11-C12</f>
        <v>37981</v>
      </c>
      <c r="D13" s="65" t="n">
        <f aca="false">IF($C$11=0,0,C13/$C$11)</f>
        <v>1</v>
      </c>
      <c r="E13" s="64" t="n">
        <f aca="false">E11-E12</f>
        <v>3218.4</v>
      </c>
      <c r="F13" s="64" t="n">
        <f aca="false">F11-F12</f>
        <v>2086.56</v>
      </c>
      <c r="G13" s="64" t="n">
        <f aca="false">G11-G12</f>
        <v>2708.64</v>
      </c>
      <c r="H13" s="64" t="n">
        <f aca="false">H11-H12</f>
        <v>3080.16</v>
      </c>
      <c r="I13" s="64" t="n">
        <f aca="false">I11-I12</f>
        <v>3265.92</v>
      </c>
      <c r="J13" s="64" t="n">
        <f aca="false">J11-J12</f>
        <v>3468.96</v>
      </c>
      <c r="K13" s="64" t="n">
        <f aca="false">K11-K12</f>
        <v>3706.56</v>
      </c>
      <c r="L13" s="64" t="n">
        <f aca="false">L11-L12</f>
        <v>3749.76</v>
      </c>
      <c r="M13" s="64" t="n">
        <f aca="false">M11-M12</f>
        <v>3844.8</v>
      </c>
      <c r="N13" s="64" t="n">
        <f aca="false">N11-N12</f>
        <v>4505.76</v>
      </c>
      <c r="O13" s="64" t="n">
        <f aca="false">O11-O12</f>
        <v>4691.52</v>
      </c>
      <c r="P13" s="64" t="n">
        <f aca="false">P11-P12</f>
        <v>4872.96</v>
      </c>
      <c r="Q13" s="64" t="n">
        <f aca="false">Q11-Q12</f>
        <v>43200</v>
      </c>
      <c r="R13" s="65" t="n">
        <f aca="false">IF($Q$11=0,0,Q13/$Q$11)</f>
        <v>0.970786516853933</v>
      </c>
      <c r="S13" s="64" t="n">
        <f aca="false">Q13-C13</f>
        <v>5219</v>
      </c>
      <c r="T13" s="65" t="n">
        <f aca="false">IF(C13=0,0,S13/ABS(C13))</f>
        <v>0.137410810668492</v>
      </c>
      <c r="V13" s="64" t="n">
        <f aca="false">V11-V12</f>
        <v>3960</v>
      </c>
      <c r="W13" s="64" t="n">
        <f aca="false">W11-W12</f>
        <v>3960</v>
      </c>
      <c r="X13" s="64" t="n">
        <f aca="false">X11-X12</f>
        <v>3960</v>
      </c>
      <c r="Y13" s="64" t="n">
        <f aca="false">Y11-Y12</f>
        <v>3960</v>
      </c>
      <c r="Z13" s="64" t="n">
        <f aca="false">Z11-Z12</f>
        <v>3960</v>
      </c>
      <c r="AA13" s="64" t="n">
        <f aca="false">AA11-AA12</f>
        <v>3960</v>
      </c>
      <c r="AB13" s="64" t="n">
        <f aca="false">AB11-AB12</f>
        <v>23760</v>
      </c>
      <c r="AC13" s="64" t="n">
        <f aca="false">AB13*12/6</f>
        <v>47520</v>
      </c>
      <c r="AD13" s="65" t="n">
        <f aca="false">IF(Q13=0,0,AC13/Q13-1)</f>
        <v>0.1</v>
      </c>
    </row>
    <row r="15" customFormat="false" ht="15" hidden="false" customHeight="false" outlineLevel="0" collapsed="false">
      <c r="B15" s="11" t="s">
        <v>345</v>
      </c>
      <c r="C15" s="12"/>
      <c r="D15" s="12"/>
      <c r="E15" s="12"/>
      <c r="F15" s="12"/>
      <c r="G15" s="12"/>
      <c r="H15" s="12"/>
      <c r="I15" s="12"/>
      <c r="J15" s="12"/>
      <c r="K15" s="12"/>
      <c r="L15" s="12"/>
      <c r="M15" s="12"/>
      <c r="N15" s="12"/>
      <c r="O15" s="12"/>
      <c r="P15" s="12"/>
      <c r="Q15" s="12"/>
      <c r="R15" s="12"/>
      <c r="S15" s="12"/>
      <c r="T15" s="12"/>
      <c r="V15" s="12"/>
      <c r="W15" s="12"/>
      <c r="X15" s="12"/>
      <c r="Y15" s="12"/>
      <c r="Z15" s="12"/>
      <c r="AA15" s="12"/>
      <c r="AB15" s="12"/>
      <c r="AC15" s="12"/>
      <c r="AD15" s="12"/>
    </row>
    <row r="16" customFormat="false" ht="15" hidden="false" customHeight="false" outlineLevel="0" collapsed="false">
      <c r="B16" s="49" t="s">
        <v>346</v>
      </c>
      <c r="C16" s="5" t="n">
        <f aca="false">('FY26 Actual'!D9+'FY26 Actual'!D10+'FY26 Actual'!D11)*Assumptions!$B$45</f>
        <v>20214.1308</v>
      </c>
      <c r="D16" s="6" t="n">
        <f aca="false">IF($C$11=0,0,C16/$C$11)</f>
        <v>0.532216918985809</v>
      </c>
      <c r="E16" s="59" t="n">
        <f aca="false">$C16*Assumptions!$B$23/12</f>
        <v>1665.01394005039</v>
      </c>
      <c r="F16" s="59" t="n">
        <f aca="false">$C16*Assumptions!$B$23/12</f>
        <v>1665.01394005039</v>
      </c>
      <c r="G16" s="59" t="n">
        <f aca="false">$C16*Assumptions!$B$23/12</f>
        <v>1665.01394005039</v>
      </c>
      <c r="H16" s="59" t="n">
        <f aca="false">$C16*Assumptions!$B$23/12</f>
        <v>1665.01394005039</v>
      </c>
      <c r="I16" s="59" t="n">
        <f aca="false">$C16*Assumptions!$B$23/12</f>
        <v>1665.01394005039</v>
      </c>
      <c r="J16" s="59" t="n">
        <f aca="false">$C16*Assumptions!$B$23/12</f>
        <v>1665.01394005039</v>
      </c>
      <c r="K16" s="59" t="n">
        <f aca="false">$C16*Assumptions!$B$23/12</f>
        <v>1665.01394005039</v>
      </c>
      <c r="L16" s="59" t="n">
        <f aca="false">$C16*Assumptions!$B$23/12</f>
        <v>1665.01394005039</v>
      </c>
      <c r="M16" s="59" t="n">
        <f aca="false">$C16*Assumptions!$B$23/12</f>
        <v>1665.01394005039</v>
      </c>
      <c r="N16" s="59" t="n">
        <f aca="false">$C16*Assumptions!$B$23/12</f>
        <v>1665.01394005039</v>
      </c>
      <c r="O16" s="59" t="n">
        <f aca="false">$C16*Assumptions!$B$23/12</f>
        <v>1665.01394005039</v>
      </c>
      <c r="P16" s="59" t="n">
        <f aca="false">$C16*Assumptions!$B$23/12</f>
        <v>1665.01394005039</v>
      </c>
      <c r="Q16" s="59" t="n">
        <f aca="false">SUM(E16:P16)</f>
        <v>19980.1672806047</v>
      </c>
      <c r="R16" s="6" t="n">
        <f aca="false">IF($Q$11=0,0,Q16/$Q$11)</f>
        <v>0.448992523159655</v>
      </c>
      <c r="S16" s="59" t="n">
        <f aca="false">Q16-C16</f>
        <v>-233.963519395336</v>
      </c>
      <c r="T16" s="6" t="n">
        <f aca="false">IF(C16=0,0,S16/ABS(C16))</f>
        <v>-0.0115742557377405</v>
      </c>
      <c r="V16" s="59" t="n">
        <f aca="false">$Q16*(1+Assumptions!$B$42)/12</f>
        <v>1831.51533405543</v>
      </c>
      <c r="W16" s="59" t="n">
        <f aca="false">$Q16*(1+Assumptions!$B$42)/12</f>
        <v>1831.51533405543</v>
      </c>
      <c r="X16" s="59" t="n">
        <f aca="false">$Q16*(1+Assumptions!$B$42)/12</f>
        <v>1831.51533405543</v>
      </c>
      <c r="Y16" s="59" t="n">
        <f aca="false">$Q16*(1+Assumptions!$B$42)/12</f>
        <v>1831.51533405543</v>
      </c>
      <c r="Z16" s="59" t="n">
        <f aca="false">$Q16*(1+Assumptions!$B$42)/12</f>
        <v>1831.51533405543</v>
      </c>
      <c r="AA16" s="59" t="n">
        <f aca="false">$Q16*(1+Assumptions!$B$42)/12</f>
        <v>1831.51533405543</v>
      </c>
      <c r="AB16" s="59" t="n">
        <f aca="false">SUM(V16:AA16)</f>
        <v>10989.0920043326</v>
      </c>
      <c r="AC16" s="59" t="n">
        <f aca="false">AB16*12/6</f>
        <v>21978.1840086651</v>
      </c>
      <c r="AD16" s="6" t="n">
        <f aca="false">IF(Q16=0,0,AC16/Q16-1)</f>
        <v>0.1</v>
      </c>
    </row>
    <row r="17" customFormat="false" ht="15" hidden="false" customHeight="false" outlineLevel="0" collapsed="false">
      <c r="B17" s="49" t="s">
        <v>347</v>
      </c>
      <c r="C17" s="5" t="n">
        <f aca="false">'FY26 Actual'!D16</f>
        <v>1041.9</v>
      </c>
      <c r="D17" s="6" t="n">
        <f aca="false">IF($C$11=0,0,C17/$C$11)</f>
        <v>0.0274321371211922</v>
      </c>
      <c r="E17" s="59" t="n">
        <f aca="false">$C17*Assumptions!$B$23/12</f>
        <v>85.8200652455707</v>
      </c>
      <c r="F17" s="59" t="n">
        <f aca="false">$C17*Assumptions!$B$23/12</f>
        <v>85.8200652455707</v>
      </c>
      <c r="G17" s="59" t="n">
        <f aca="false">$C17*Assumptions!$B$23/12</f>
        <v>85.8200652455707</v>
      </c>
      <c r="H17" s="59" t="n">
        <f aca="false">$C17*Assumptions!$B$23/12</f>
        <v>85.8200652455707</v>
      </c>
      <c r="I17" s="59" t="n">
        <f aca="false">$C17*Assumptions!$B$23/12</f>
        <v>85.8200652455707</v>
      </c>
      <c r="J17" s="59" t="n">
        <f aca="false">$C17*Assumptions!$B$23/12</f>
        <v>85.8200652455707</v>
      </c>
      <c r="K17" s="59" t="n">
        <f aca="false">$C17*Assumptions!$B$23/12</f>
        <v>85.8200652455707</v>
      </c>
      <c r="L17" s="59" t="n">
        <f aca="false">$C17*Assumptions!$B$23/12</f>
        <v>85.8200652455707</v>
      </c>
      <c r="M17" s="59" t="n">
        <f aca="false">$C17*Assumptions!$B$23/12</f>
        <v>85.8200652455707</v>
      </c>
      <c r="N17" s="59" t="n">
        <f aca="false">$C17*Assumptions!$B$23/12</f>
        <v>85.8200652455707</v>
      </c>
      <c r="O17" s="59" t="n">
        <f aca="false">$C17*Assumptions!$B$23/12</f>
        <v>85.8200652455707</v>
      </c>
      <c r="P17" s="59" t="n">
        <f aca="false">$C17*Assumptions!$B$23/12</f>
        <v>85.8200652455707</v>
      </c>
      <c r="Q17" s="59" t="n">
        <f aca="false">SUM(E17:P17)</f>
        <v>1029.84078294685</v>
      </c>
      <c r="R17" s="6" t="n">
        <f aca="false">IF($Q$11=0,0,Q17/$Q$11)</f>
        <v>0.0231424895044236</v>
      </c>
      <c r="S17" s="59" t="n">
        <f aca="false">Q17-C17</f>
        <v>-12.0592170531518</v>
      </c>
      <c r="T17" s="6" t="n">
        <f aca="false">IF(C17=0,0,S17/ABS(C17))</f>
        <v>-0.0115742557377404</v>
      </c>
      <c r="V17" s="59" t="n">
        <f aca="false">$Q17*(1+Assumptions!$B$42)/12</f>
        <v>94.4020717701278</v>
      </c>
      <c r="W17" s="59" t="n">
        <f aca="false">$Q17*(1+Assumptions!$B$42)/12</f>
        <v>94.4020717701278</v>
      </c>
      <c r="X17" s="59" t="n">
        <f aca="false">$Q17*(1+Assumptions!$B$42)/12</f>
        <v>94.4020717701278</v>
      </c>
      <c r="Y17" s="59" t="n">
        <f aca="false">$Q17*(1+Assumptions!$B$42)/12</f>
        <v>94.4020717701278</v>
      </c>
      <c r="Z17" s="59" t="n">
        <f aca="false">$Q17*(1+Assumptions!$B$42)/12</f>
        <v>94.4020717701278</v>
      </c>
      <c r="AA17" s="59" t="n">
        <f aca="false">$Q17*(1+Assumptions!$B$42)/12</f>
        <v>94.4020717701278</v>
      </c>
      <c r="AB17" s="59" t="n">
        <f aca="false">SUM(V17:AA17)</f>
        <v>566.412430620767</v>
      </c>
      <c r="AC17" s="59" t="n">
        <f aca="false">AB17*12/6</f>
        <v>1132.82486124153</v>
      </c>
      <c r="AD17" s="6" t="n">
        <f aca="false">IF(Q17=0,0,AC17/Q17-1)</f>
        <v>0.1</v>
      </c>
    </row>
    <row r="18" customFormat="false" ht="15" hidden="false" customHeight="false" outlineLevel="0" collapsed="false">
      <c r="B18" s="49" t="s">
        <v>348</v>
      </c>
      <c r="C18" s="5" t="n">
        <f aca="false">'FY26 Actual'!D23*Assumptions!$B$48</f>
        <v>1235.6292</v>
      </c>
      <c r="D18" s="6" t="n">
        <f aca="false">IF($C$11=0,0,C18/$C$11)</f>
        <v>0.0325328243068903</v>
      </c>
      <c r="E18" s="59" t="n">
        <f aca="false">$C18*Assumptions!$B$23/12</f>
        <v>101.777309303515</v>
      </c>
      <c r="F18" s="59" t="n">
        <f aca="false">$C18*Assumptions!$B$23/12</f>
        <v>101.777309303515</v>
      </c>
      <c r="G18" s="59" t="n">
        <f aca="false">$C18*Assumptions!$B$23/12</f>
        <v>101.777309303515</v>
      </c>
      <c r="H18" s="59" t="n">
        <f aca="false">$C18*Assumptions!$B$23/12</f>
        <v>101.777309303515</v>
      </c>
      <c r="I18" s="59" t="n">
        <f aca="false">$C18*Assumptions!$B$23/12</f>
        <v>101.777309303515</v>
      </c>
      <c r="J18" s="59" t="n">
        <f aca="false">$C18*Assumptions!$B$23/12</f>
        <v>101.777309303515</v>
      </c>
      <c r="K18" s="59" t="n">
        <f aca="false">$C18*Assumptions!$B$23/12</f>
        <v>101.777309303515</v>
      </c>
      <c r="L18" s="59" t="n">
        <f aca="false">$C18*Assumptions!$B$23/12</f>
        <v>101.777309303515</v>
      </c>
      <c r="M18" s="59" t="n">
        <f aca="false">$C18*Assumptions!$B$23/12</f>
        <v>101.777309303515</v>
      </c>
      <c r="N18" s="59" t="n">
        <f aca="false">$C18*Assumptions!$B$23/12</f>
        <v>101.777309303515</v>
      </c>
      <c r="O18" s="59" t="n">
        <f aca="false">$C18*Assumptions!$B$23/12</f>
        <v>101.777309303515</v>
      </c>
      <c r="P18" s="59" t="n">
        <f aca="false">$C18*Assumptions!$B$23/12</f>
        <v>101.777309303515</v>
      </c>
      <c r="Q18" s="59" t="n">
        <f aca="false">SUM(E18:P18)</f>
        <v>1221.32771164218</v>
      </c>
      <c r="R18" s="6" t="n">
        <f aca="false">IF($Q$11=0,0,Q18/$Q$11)</f>
        <v>0.0274455665537569</v>
      </c>
      <c r="S18" s="59" t="n">
        <f aca="false">Q18-C18</f>
        <v>-14.3014883578196</v>
      </c>
      <c r="T18" s="6" t="n">
        <f aca="false">IF(C18=0,0,S18/ABS(C18))</f>
        <v>-0.0115742557377404</v>
      </c>
      <c r="V18" s="59" t="n">
        <f aca="false">$Q18*(1+Assumptions!$B$42)/12</f>
        <v>111.955040233867</v>
      </c>
      <c r="W18" s="59" t="n">
        <f aca="false">$Q18*(1+Assumptions!$B$42)/12</f>
        <v>111.955040233867</v>
      </c>
      <c r="X18" s="59" t="n">
        <f aca="false">$Q18*(1+Assumptions!$B$42)/12</f>
        <v>111.955040233867</v>
      </c>
      <c r="Y18" s="59" t="n">
        <f aca="false">$Q18*(1+Assumptions!$B$42)/12</f>
        <v>111.955040233867</v>
      </c>
      <c r="Z18" s="59" t="n">
        <f aca="false">$Q18*(1+Assumptions!$B$42)/12</f>
        <v>111.955040233867</v>
      </c>
      <c r="AA18" s="59" t="n">
        <f aca="false">$Q18*(1+Assumptions!$B$42)/12</f>
        <v>111.955040233867</v>
      </c>
      <c r="AB18" s="59" t="n">
        <f aca="false">SUM(V18:AA18)</f>
        <v>671.730241403199</v>
      </c>
      <c r="AC18" s="59" t="n">
        <f aca="false">AB18*12/6</f>
        <v>1343.4604828064</v>
      </c>
      <c r="AD18" s="6" t="n">
        <f aca="false">IF(Q18=0,0,AC18/Q18-1)</f>
        <v>0.1</v>
      </c>
    </row>
    <row r="19" customFormat="false" ht="15" hidden="false" customHeight="false" outlineLevel="0" collapsed="false">
      <c r="B19" s="49" t="s">
        <v>349</v>
      </c>
      <c r="C19" s="5" t="n">
        <f aca="false">'FY26 Actual'!D15</f>
        <v>5137.7</v>
      </c>
      <c r="D19" s="6" t="n">
        <f aca="false">IF($C$11=0,0,C19/$C$11)</f>
        <v>0.135270266712304</v>
      </c>
      <c r="E19" s="59" t="n">
        <f aca="false">$C19*Assumptions!$B$23/12</f>
        <v>423.186245524684</v>
      </c>
      <c r="F19" s="59" t="n">
        <f aca="false">$C19*Assumptions!$B$23/12</f>
        <v>423.186245524684</v>
      </c>
      <c r="G19" s="59" t="n">
        <f aca="false">$C19*Assumptions!$B$23/12</f>
        <v>423.186245524684</v>
      </c>
      <c r="H19" s="59" t="n">
        <f aca="false">$C19*Assumptions!$B$23/12</f>
        <v>423.186245524684</v>
      </c>
      <c r="I19" s="59" t="n">
        <f aca="false">$C19*Assumptions!$B$23/12</f>
        <v>423.186245524684</v>
      </c>
      <c r="J19" s="59" t="n">
        <f aca="false">$C19*Assumptions!$B$23/12</f>
        <v>423.186245524684</v>
      </c>
      <c r="K19" s="59" t="n">
        <f aca="false">$C19*Assumptions!$B$23/12</f>
        <v>423.186245524684</v>
      </c>
      <c r="L19" s="59" t="n">
        <f aca="false">$C19*Assumptions!$B$23/12</f>
        <v>423.186245524684</v>
      </c>
      <c r="M19" s="59" t="n">
        <f aca="false">$C19*Assumptions!$B$23/12</f>
        <v>423.186245524684</v>
      </c>
      <c r="N19" s="59" t="n">
        <f aca="false">$C19*Assumptions!$B$23/12</f>
        <v>423.186245524684</v>
      </c>
      <c r="O19" s="59" t="n">
        <f aca="false">$C19*Assumptions!$B$23/12</f>
        <v>423.186245524684</v>
      </c>
      <c r="P19" s="59" t="n">
        <f aca="false">$C19*Assumptions!$B$23/12</f>
        <v>423.186245524684</v>
      </c>
      <c r="Q19" s="59" t="n">
        <f aca="false">SUM(E19:P19)</f>
        <v>5078.23494629621</v>
      </c>
      <c r="R19" s="6" t="n">
        <f aca="false">IF($Q$11=0,0,Q19/$Q$11)</f>
        <v>0.114117639242611</v>
      </c>
      <c r="S19" s="59" t="n">
        <f aca="false">Q19-C19</f>
        <v>-59.4650537037896</v>
      </c>
      <c r="T19" s="6" t="n">
        <f aca="false">IF(C19=0,0,S19/ABS(C19))</f>
        <v>-0.0115742557377406</v>
      </c>
      <c r="V19" s="59" t="n">
        <f aca="false">$Q19*(1+Assumptions!$B$42)/12</f>
        <v>465.504870077153</v>
      </c>
      <c r="W19" s="59" t="n">
        <f aca="false">$Q19*(1+Assumptions!$B$42)/12</f>
        <v>465.504870077153</v>
      </c>
      <c r="X19" s="59" t="n">
        <f aca="false">$Q19*(1+Assumptions!$B$42)/12</f>
        <v>465.504870077153</v>
      </c>
      <c r="Y19" s="59" t="n">
        <f aca="false">$Q19*(1+Assumptions!$B$42)/12</f>
        <v>465.504870077153</v>
      </c>
      <c r="Z19" s="59" t="n">
        <f aca="false">$Q19*(1+Assumptions!$B$42)/12</f>
        <v>465.504870077153</v>
      </c>
      <c r="AA19" s="59" t="n">
        <f aca="false">$Q19*(1+Assumptions!$B$42)/12</f>
        <v>465.504870077153</v>
      </c>
      <c r="AB19" s="59" t="n">
        <f aca="false">SUM(V19:AA19)</f>
        <v>2793.02922046292</v>
      </c>
      <c r="AC19" s="59" t="n">
        <f aca="false">AB19*12/6</f>
        <v>5586.05844092583</v>
      </c>
      <c r="AD19" s="6" t="n">
        <f aca="false">IF(Q19=0,0,AC19/Q19-1)</f>
        <v>0.1</v>
      </c>
    </row>
    <row r="20" customFormat="false" ht="15" hidden="false" customHeight="false" outlineLevel="0" collapsed="false">
      <c r="B20" s="49" t="s">
        <v>350</v>
      </c>
      <c r="C20" s="5" t="n">
        <f aca="false">'FY26 Actual'!D17</f>
        <v>981</v>
      </c>
      <c r="D20" s="6" t="n">
        <f aca="false">IF($C$11=0,0,C20/$C$11)</f>
        <v>0.025828703825597</v>
      </c>
      <c r="E20" s="59" t="n">
        <f aca="false">$C20*Assumptions!$B$23/12</f>
        <v>80.8038045934397</v>
      </c>
      <c r="F20" s="59" t="n">
        <f aca="false">$C20*Assumptions!$B$23/12</f>
        <v>80.8038045934397</v>
      </c>
      <c r="G20" s="59" t="n">
        <f aca="false">$C20*Assumptions!$B$23/12</f>
        <v>80.8038045934397</v>
      </c>
      <c r="H20" s="59" t="n">
        <f aca="false">$C20*Assumptions!$B$23/12</f>
        <v>80.8038045934397</v>
      </c>
      <c r="I20" s="59" t="n">
        <f aca="false">$C20*Assumptions!$B$23/12</f>
        <v>80.8038045934397</v>
      </c>
      <c r="J20" s="59" t="n">
        <f aca="false">$C20*Assumptions!$B$23/12</f>
        <v>80.8038045934397</v>
      </c>
      <c r="K20" s="59" t="n">
        <f aca="false">$C20*Assumptions!$B$23/12</f>
        <v>80.8038045934397</v>
      </c>
      <c r="L20" s="59" t="n">
        <f aca="false">$C20*Assumptions!$B$23/12</f>
        <v>80.8038045934397</v>
      </c>
      <c r="M20" s="59" t="n">
        <f aca="false">$C20*Assumptions!$B$23/12</f>
        <v>80.8038045934397</v>
      </c>
      <c r="N20" s="59" t="n">
        <f aca="false">$C20*Assumptions!$B$23/12</f>
        <v>80.8038045934397</v>
      </c>
      <c r="O20" s="59" t="n">
        <f aca="false">$C20*Assumptions!$B$23/12</f>
        <v>80.8038045934397</v>
      </c>
      <c r="P20" s="59" t="n">
        <f aca="false">$C20*Assumptions!$B$23/12</f>
        <v>80.8038045934397</v>
      </c>
      <c r="Q20" s="59" t="n">
        <f aca="false">SUM(E20:P20)</f>
        <v>969.645655121277</v>
      </c>
      <c r="R20" s="6" t="n">
        <f aca="false">IF($Q$11=0,0,Q20/$Q$11)</f>
        <v>0.0217897900027253</v>
      </c>
      <c r="S20" s="59" t="n">
        <f aca="false">Q20-C20</f>
        <v>-11.3543448787233</v>
      </c>
      <c r="T20" s="6" t="n">
        <f aca="false">IF(C20=0,0,S20/ABS(C20))</f>
        <v>-0.0115742557377403</v>
      </c>
      <c r="V20" s="59" t="n">
        <f aca="false">$Q20*(1+Assumptions!$B$42)/12</f>
        <v>88.8841850527837</v>
      </c>
      <c r="W20" s="59" t="n">
        <f aca="false">$Q20*(1+Assumptions!$B$42)/12</f>
        <v>88.8841850527837</v>
      </c>
      <c r="X20" s="59" t="n">
        <f aca="false">$Q20*(1+Assumptions!$B$42)/12</f>
        <v>88.8841850527837</v>
      </c>
      <c r="Y20" s="59" t="n">
        <f aca="false">$Q20*(1+Assumptions!$B$42)/12</f>
        <v>88.8841850527837</v>
      </c>
      <c r="Z20" s="59" t="n">
        <f aca="false">$Q20*(1+Assumptions!$B$42)/12</f>
        <v>88.8841850527837</v>
      </c>
      <c r="AA20" s="59" t="n">
        <f aca="false">$Q20*(1+Assumptions!$B$42)/12</f>
        <v>88.8841850527837</v>
      </c>
      <c r="AB20" s="59" t="n">
        <f aca="false">SUM(V20:AA20)</f>
        <v>533.305110316702</v>
      </c>
      <c r="AC20" s="59" t="n">
        <f aca="false">AB20*12/6</f>
        <v>1066.6102206334</v>
      </c>
      <c r="AD20" s="6" t="n">
        <f aca="false">IF(Q20=0,0,AC20/Q20-1)</f>
        <v>0.1</v>
      </c>
    </row>
    <row r="21" customFormat="false" ht="15" hidden="false" customHeight="false" outlineLevel="0" collapsed="false">
      <c r="B21" s="63" t="s">
        <v>345</v>
      </c>
      <c r="C21" s="64" t="n">
        <f aca="false">SUM(C16:C20)</f>
        <v>28610.36</v>
      </c>
      <c r="D21" s="65" t="n">
        <f aca="false">IF($C$11=0,0,C21/$C$11)</f>
        <v>0.753280850951792</v>
      </c>
      <c r="E21" s="64" t="n">
        <f aca="false">SUM(E16:E20)</f>
        <v>2356.6013647176</v>
      </c>
      <c r="F21" s="64" t="n">
        <f aca="false">SUM(F16:F20)</f>
        <v>2356.6013647176</v>
      </c>
      <c r="G21" s="64" t="n">
        <f aca="false">SUM(G16:G20)</f>
        <v>2356.6013647176</v>
      </c>
      <c r="H21" s="64" t="n">
        <f aca="false">SUM(H16:H20)</f>
        <v>2356.6013647176</v>
      </c>
      <c r="I21" s="64" t="n">
        <f aca="false">SUM(I16:I20)</f>
        <v>2356.6013647176</v>
      </c>
      <c r="J21" s="64" t="n">
        <f aca="false">SUM(J16:J20)</f>
        <v>2356.6013647176</v>
      </c>
      <c r="K21" s="64" t="n">
        <f aca="false">SUM(K16:K20)</f>
        <v>2356.6013647176</v>
      </c>
      <c r="L21" s="64" t="n">
        <f aca="false">SUM(L16:L20)</f>
        <v>2356.6013647176</v>
      </c>
      <c r="M21" s="64" t="n">
        <f aca="false">SUM(M16:M20)</f>
        <v>2356.6013647176</v>
      </c>
      <c r="N21" s="64" t="n">
        <f aca="false">SUM(N16:N20)</f>
        <v>2356.6013647176</v>
      </c>
      <c r="O21" s="64" t="n">
        <f aca="false">SUM(O16:O20)</f>
        <v>2356.6013647176</v>
      </c>
      <c r="P21" s="64" t="n">
        <f aca="false">SUM(P16:P20)</f>
        <v>2356.6013647176</v>
      </c>
      <c r="Q21" s="64" t="n">
        <f aca="false">SUM(Q16:Q20)</f>
        <v>28279.2163766112</v>
      </c>
      <c r="R21" s="65" t="n">
        <f aca="false">IF($Q$11=0,0,Q21/$Q$11)</f>
        <v>0.635488008463173</v>
      </c>
      <c r="S21" s="64" t="n">
        <f aca="false">Q21-C21</f>
        <v>-331.143623388823</v>
      </c>
      <c r="T21" s="65" t="n">
        <f aca="false">IF(C21=0,0,S21/ABS(C21))</f>
        <v>-0.0115742557377406</v>
      </c>
      <c r="V21" s="64" t="n">
        <f aca="false">SUM(V16:V20)</f>
        <v>2592.26150118936</v>
      </c>
      <c r="W21" s="64" t="n">
        <f aca="false">SUM(W16:W20)</f>
        <v>2592.26150118936</v>
      </c>
      <c r="X21" s="64" t="n">
        <f aca="false">SUM(X16:X20)</f>
        <v>2592.26150118936</v>
      </c>
      <c r="Y21" s="64" t="n">
        <f aca="false">SUM(Y16:Y20)</f>
        <v>2592.26150118936</v>
      </c>
      <c r="Z21" s="64" t="n">
        <f aca="false">SUM(Z16:Z20)</f>
        <v>2592.26150118936</v>
      </c>
      <c r="AA21" s="64" t="n">
        <f aca="false">SUM(AA16:AA20)</f>
        <v>2592.26150118936</v>
      </c>
      <c r="AB21" s="64" t="n">
        <f aca="false">SUM(AB16:AB20)</f>
        <v>15553.5690071362</v>
      </c>
      <c r="AC21" s="64" t="n">
        <f aca="false">AB21*12/6</f>
        <v>31107.1380142723</v>
      </c>
      <c r="AD21" s="65" t="n">
        <f aca="false">IF(Q21=0,0,AC21/Q21-1)</f>
        <v>0.1</v>
      </c>
    </row>
    <row r="22" customFormat="false" ht="15" hidden="false" customHeight="false" outlineLevel="0" collapsed="false">
      <c r="B22" s="63" t="s">
        <v>351</v>
      </c>
      <c r="C22" s="64" t="n">
        <f aca="false">C13-C21</f>
        <v>9370.64</v>
      </c>
      <c r="D22" s="65" t="n">
        <f aca="false">IF($C$11=0,0,C22/$C$11)</f>
        <v>0.246719149048208</v>
      </c>
      <c r="E22" s="64" t="n">
        <f aca="false">E13-E21</f>
        <v>861.798635282402</v>
      </c>
      <c r="F22" s="64" t="n">
        <f aca="false">F13-F21</f>
        <v>-270.041364717598</v>
      </c>
      <c r="G22" s="64" t="n">
        <f aca="false">G13-G21</f>
        <v>352.038635282402</v>
      </c>
      <c r="H22" s="64" t="n">
        <f aca="false">H13-H21</f>
        <v>723.558635282403</v>
      </c>
      <c r="I22" s="64" t="n">
        <f aca="false">I13-I21</f>
        <v>909.318635282402</v>
      </c>
      <c r="J22" s="64" t="n">
        <f aca="false">J13-J21</f>
        <v>1112.3586352824</v>
      </c>
      <c r="K22" s="64" t="n">
        <f aca="false">K13-K21</f>
        <v>1349.9586352824</v>
      </c>
      <c r="L22" s="64" t="n">
        <f aca="false">L13-L21</f>
        <v>1393.1586352824</v>
      </c>
      <c r="M22" s="64" t="n">
        <f aca="false">M13-M21</f>
        <v>1488.1986352824</v>
      </c>
      <c r="N22" s="64" t="n">
        <f aca="false">N13-N21</f>
        <v>2149.1586352824</v>
      </c>
      <c r="O22" s="64" t="n">
        <f aca="false">O13-O21</f>
        <v>2334.9186352824</v>
      </c>
      <c r="P22" s="64" t="n">
        <f aca="false">P13-P21</f>
        <v>2516.3586352824</v>
      </c>
      <c r="Q22" s="64" t="n">
        <f aca="false">Q13-Q21</f>
        <v>14920.7836233888</v>
      </c>
      <c r="R22" s="65" t="n">
        <f aca="false">IF($Q$11=0,0,Q22/$Q$11)</f>
        <v>0.33529850839076</v>
      </c>
      <c r="S22" s="64" t="n">
        <f aca="false">Q22-C22</f>
        <v>5550.14362338882</v>
      </c>
      <c r="T22" s="65" t="n">
        <f aca="false">IF(C22=0,0,S22/ABS(C22))</f>
        <v>0.592290774524347</v>
      </c>
      <c r="V22" s="64" t="n">
        <f aca="false">V13-V21</f>
        <v>1367.73849881064</v>
      </c>
      <c r="W22" s="64" t="n">
        <f aca="false">W13-W21</f>
        <v>1367.73849881064</v>
      </c>
      <c r="X22" s="64" t="n">
        <f aca="false">X13-X21</f>
        <v>1367.73849881064</v>
      </c>
      <c r="Y22" s="64" t="n">
        <f aca="false">Y13-Y21</f>
        <v>1367.73849881064</v>
      </c>
      <c r="Z22" s="64" t="n">
        <f aca="false">Z13-Z21</f>
        <v>1367.73849881064</v>
      </c>
      <c r="AA22" s="64" t="n">
        <f aca="false">AA13-AA21</f>
        <v>1367.73849881064</v>
      </c>
      <c r="AB22" s="64" t="n">
        <f aca="false">AB13-AB21</f>
        <v>8206.43099286385</v>
      </c>
      <c r="AC22" s="64" t="n">
        <f aca="false">AB22*12/6</f>
        <v>16412.8619857277</v>
      </c>
      <c r="AD22" s="65" t="n">
        <f aca="false">IF(Q22=0,0,AC22/Q22-1)</f>
        <v>0.1</v>
      </c>
    </row>
    <row r="23" customFormat="false" ht="15" hidden="false" customHeight="false" outlineLevel="0" collapsed="false">
      <c r="B23" s="1" t="s">
        <v>352</v>
      </c>
      <c r="C23" s="66" t="n">
        <f aca="false">IF(C13=0,0,C22/C13)</f>
        <v>0.246719149048208</v>
      </c>
      <c r="E23" s="66" t="n">
        <f aca="false">IF(E13=0,0,E22/E13)</f>
        <v>0.267772382327368</v>
      </c>
      <c r="F23" s="66" t="n">
        <f aca="false">IF(F13=0,0,F22/F13)</f>
        <v>-0.129419410281803</v>
      </c>
      <c r="G23" s="66" t="n">
        <f aca="false">IF(G13=0,0,G22/G13)</f>
        <v>0.129968779639377</v>
      </c>
      <c r="H23" s="66" t="n">
        <f aca="false">IF(H13=0,0,H22/H13)</f>
        <v>0.234909431744585</v>
      </c>
      <c r="I23" s="66" t="n">
        <f aca="false">IF(I13=0,0,I22/I13)</f>
        <v>0.278426487875515</v>
      </c>
      <c r="J23" s="66" t="n">
        <f aca="false">IF(J13=0,0,J22/J13)</f>
        <v>0.320660553964993</v>
      </c>
      <c r="K23" s="66" t="n">
        <f aca="false">IF(K13=0,0,K22/K13)</f>
        <v>0.364207954351852</v>
      </c>
      <c r="L23" s="66" t="n">
        <f aca="false">IF(L13=0,0,L22/L13)</f>
        <v>0.371532747504481</v>
      </c>
      <c r="M23" s="66" t="n">
        <f aca="false">IF(M13=0,0,M22/M13)</f>
        <v>0.387067893071786</v>
      </c>
      <c r="N23" s="66" t="n">
        <f aca="false">IF(N13=0,0,N22/N13)</f>
        <v>0.476980273090977</v>
      </c>
      <c r="O23" s="66" t="n">
        <f aca="false">IF(O13=0,0,O22/O13)</f>
        <v>0.497689157305607</v>
      </c>
      <c r="P23" s="66" t="n">
        <f aca="false">IF(P13=0,0,P22/P13)</f>
        <v>0.51639222059742</v>
      </c>
      <c r="Q23" s="66" t="n">
        <f aca="false">IF(Q13=0,0,Q22/Q13)</f>
        <v>0.345388509800667</v>
      </c>
      <c r="V23" s="66" t="n">
        <f aca="false">IF(V13=0,0,V22/V13)</f>
        <v>0.345388509800667</v>
      </c>
      <c r="W23" s="66" t="n">
        <f aca="false">IF(W13=0,0,W22/W13)</f>
        <v>0.345388509800667</v>
      </c>
      <c r="X23" s="66" t="n">
        <f aca="false">IF(X13=0,0,X22/X13)</f>
        <v>0.345388509800667</v>
      </c>
      <c r="Y23" s="66" t="n">
        <f aca="false">IF(Y13=0,0,Y22/Y13)</f>
        <v>0.345388509800667</v>
      </c>
      <c r="Z23" s="66" t="n">
        <f aca="false">IF(Z13=0,0,Z22/Z13)</f>
        <v>0.345388509800667</v>
      </c>
      <c r="AA23" s="66" t="n">
        <f aca="false">IF(AA13=0,0,AA22/AA13)</f>
        <v>0.345388509800667</v>
      </c>
      <c r="AB23" s="66" t="n">
        <f aca="false">IF(AB13=0,0,AB22/AB13)</f>
        <v>0.345388509800667</v>
      </c>
      <c r="AC23" s="66" t="n">
        <f aca="false">IF(AC13=0,0,AC22/AC13)</f>
        <v>0.345388509800667</v>
      </c>
    </row>
    <row r="25" customFormat="false" ht="15" hidden="false" customHeight="false" outlineLevel="0" collapsed="false">
      <c r="B25" s="11" t="s">
        <v>353</v>
      </c>
      <c r="C25" s="12"/>
      <c r="D25" s="12"/>
      <c r="E25" s="12"/>
      <c r="F25" s="12"/>
      <c r="G25" s="12"/>
      <c r="H25" s="12"/>
      <c r="I25" s="12"/>
      <c r="J25" s="12"/>
      <c r="K25" s="12"/>
      <c r="L25" s="12"/>
      <c r="M25" s="12"/>
      <c r="N25" s="12"/>
      <c r="O25" s="12"/>
      <c r="P25" s="12"/>
      <c r="Q25" s="12"/>
      <c r="R25" s="12"/>
      <c r="S25" s="12"/>
      <c r="T25" s="12"/>
      <c r="V25" s="12"/>
      <c r="W25" s="12"/>
      <c r="X25" s="12"/>
      <c r="Y25" s="12"/>
      <c r="Z25" s="12"/>
      <c r="AA25" s="12"/>
      <c r="AB25" s="12"/>
      <c r="AC25" s="12"/>
      <c r="AD25" s="12"/>
    </row>
    <row r="26" customFormat="false" ht="15" hidden="false" customHeight="false" outlineLevel="0" collapsed="false">
      <c r="B26" s="49" t="s">
        <v>354</v>
      </c>
      <c r="C26" s="5" t="n">
        <f aca="false">('FY26 Actual'!D9+'FY26 Actual'!D10+'FY26 Actual'!D11)*Assumptions!$B$46</f>
        <v>2434.5486</v>
      </c>
      <c r="D26" s="6" t="n">
        <f aca="false">IF($C$11=0,0,C26/$C$11)</f>
        <v>0.0640991179800427</v>
      </c>
      <c r="E26" s="59" t="n">
        <f aca="false">$C26*Assumptions!$B$23/12</f>
        <v>200.53087599147</v>
      </c>
      <c r="F26" s="59" t="n">
        <f aca="false">$C26*Assumptions!$B$23/12</f>
        <v>200.53087599147</v>
      </c>
      <c r="G26" s="59" t="n">
        <f aca="false">$C26*Assumptions!$B$23/12</f>
        <v>200.53087599147</v>
      </c>
      <c r="H26" s="59" t="n">
        <f aca="false">$C26*Assumptions!$B$23/12</f>
        <v>200.53087599147</v>
      </c>
      <c r="I26" s="59" t="n">
        <f aca="false">$C26*Assumptions!$B$23/12</f>
        <v>200.53087599147</v>
      </c>
      <c r="J26" s="59" t="n">
        <f aca="false">$C26*Assumptions!$B$23/12</f>
        <v>200.53087599147</v>
      </c>
      <c r="K26" s="59" t="n">
        <f aca="false">$C26*Assumptions!$B$23/12</f>
        <v>200.53087599147</v>
      </c>
      <c r="L26" s="59" t="n">
        <f aca="false">$C26*Assumptions!$B$23/12</f>
        <v>200.53087599147</v>
      </c>
      <c r="M26" s="59" t="n">
        <f aca="false">$C26*Assumptions!$B$23/12</f>
        <v>200.53087599147</v>
      </c>
      <c r="N26" s="59" t="n">
        <f aca="false">$C26*Assumptions!$B$23/12</f>
        <v>200.53087599147</v>
      </c>
      <c r="O26" s="59" t="n">
        <f aca="false">$C26*Assumptions!$B$23/12</f>
        <v>200.53087599147</v>
      </c>
      <c r="P26" s="59" t="n">
        <f aca="false">$C26*Assumptions!$B$23/12</f>
        <v>200.53087599147</v>
      </c>
      <c r="Q26" s="59" t="n">
        <f aca="false">SUM(E26:P26)</f>
        <v>2406.37051189764</v>
      </c>
      <c r="R26" s="6" t="n">
        <f aca="false">IF($Q$11=0,0,Q26/$Q$11)</f>
        <v>0.0540757418403964</v>
      </c>
      <c r="S26" s="59" t="n">
        <f aca="false">Q26-C26</f>
        <v>-28.1780881023583</v>
      </c>
      <c r="T26" s="6" t="n">
        <f aca="false">IF(C26=0,0,S26/ABS(C26))</f>
        <v>-0.0115742557377406</v>
      </c>
      <c r="V26" s="59" t="n">
        <f aca="false">$Q26*(1+Assumptions!$B$42)/12</f>
        <v>220.583963590617</v>
      </c>
      <c r="W26" s="59" t="n">
        <f aca="false">$Q26*(1+Assumptions!$B$42)/12</f>
        <v>220.583963590617</v>
      </c>
      <c r="X26" s="59" t="n">
        <f aca="false">$Q26*(1+Assumptions!$B$42)/12</f>
        <v>220.583963590617</v>
      </c>
      <c r="Y26" s="59" t="n">
        <f aca="false">$Q26*(1+Assumptions!$B$42)/12</f>
        <v>220.583963590617</v>
      </c>
      <c r="Z26" s="59" t="n">
        <f aca="false">$Q26*(1+Assumptions!$B$42)/12</f>
        <v>220.583963590617</v>
      </c>
      <c r="AA26" s="59" t="n">
        <f aca="false">$Q26*(1+Assumptions!$B$42)/12</f>
        <v>220.583963590617</v>
      </c>
      <c r="AB26" s="59" t="n">
        <f aca="false">SUM(V26:AA26)</f>
        <v>1323.5037815437</v>
      </c>
      <c r="AC26" s="59" t="n">
        <f aca="false">AB26*12/6</f>
        <v>2647.00756308741</v>
      </c>
      <c r="AD26" s="6" t="n">
        <f aca="false">IF(Q26=0,0,AC26/Q26-1)</f>
        <v>0.1</v>
      </c>
    </row>
    <row r="27" customFormat="false" ht="15" hidden="false" customHeight="false" outlineLevel="0" collapsed="false">
      <c r="B27" s="49" t="s">
        <v>355</v>
      </c>
      <c r="C27" s="5" t="n">
        <f aca="false">'FY26 Actual'!D12</f>
        <v>100.3</v>
      </c>
      <c r="D27" s="6" t="n">
        <f aca="false">IF($C$11=0,0,C27/$C$11)</f>
        <v>0.00264079408125115</v>
      </c>
      <c r="E27" s="59" t="n">
        <f aca="false">$C27*Assumptions!$B$23/12</f>
        <v>8.26159184579205</v>
      </c>
      <c r="F27" s="59" t="n">
        <f aca="false">$C27*Assumptions!$B$23/12</f>
        <v>8.26159184579205</v>
      </c>
      <c r="G27" s="59" t="n">
        <f aca="false">$C27*Assumptions!$B$23/12</f>
        <v>8.26159184579205</v>
      </c>
      <c r="H27" s="59" t="n">
        <f aca="false">$C27*Assumptions!$B$23/12</f>
        <v>8.26159184579205</v>
      </c>
      <c r="I27" s="59" t="n">
        <f aca="false">$C27*Assumptions!$B$23/12</f>
        <v>8.26159184579205</v>
      </c>
      <c r="J27" s="59" t="n">
        <f aca="false">$C27*Assumptions!$B$23/12</f>
        <v>8.26159184579205</v>
      </c>
      <c r="K27" s="59" t="n">
        <f aca="false">$C27*Assumptions!$B$23/12</f>
        <v>8.26159184579205</v>
      </c>
      <c r="L27" s="59" t="n">
        <f aca="false">$C27*Assumptions!$B$23/12</f>
        <v>8.26159184579205</v>
      </c>
      <c r="M27" s="59" t="n">
        <f aca="false">$C27*Assumptions!$B$23/12</f>
        <v>8.26159184579205</v>
      </c>
      <c r="N27" s="59" t="n">
        <f aca="false">$C27*Assumptions!$B$23/12</f>
        <v>8.26159184579205</v>
      </c>
      <c r="O27" s="59" t="n">
        <f aca="false">$C27*Assumptions!$B$23/12</f>
        <v>8.26159184579205</v>
      </c>
      <c r="P27" s="59" t="n">
        <f aca="false">$C27*Assumptions!$B$23/12</f>
        <v>8.26159184579205</v>
      </c>
      <c r="Q27" s="59" t="n">
        <f aca="false">SUM(E27:P27)</f>
        <v>99.1391021495046</v>
      </c>
      <c r="R27" s="6" t="n">
        <f aca="false">IF($Q$11=0,0,Q27/$Q$11)</f>
        <v>0.0022278449921237</v>
      </c>
      <c r="S27" s="59" t="n">
        <f aca="false">Q27-C27</f>
        <v>-1.16089785049536</v>
      </c>
      <c r="T27" s="6" t="n">
        <f aca="false">IF(C27=0,0,S27/ABS(C27))</f>
        <v>-0.0115742557377404</v>
      </c>
      <c r="V27" s="59" t="n">
        <f aca="false">$Q27*(1+Assumptions!$B$42)/12</f>
        <v>9.08775103037126</v>
      </c>
      <c r="W27" s="59" t="n">
        <f aca="false">$Q27*(1+Assumptions!$B$42)/12</f>
        <v>9.08775103037126</v>
      </c>
      <c r="X27" s="59" t="n">
        <f aca="false">$Q27*(1+Assumptions!$B$42)/12</f>
        <v>9.08775103037126</v>
      </c>
      <c r="Y27" s="59" t="n">
        <f aca="false">$Q27*(1+Assumptions!$B$42)/12</f>
        <v>9.08775103037126</v>
      </c>
      <c r="Z27" s="59" t="n">
        <f aca="false">$Q27*(1+Assumptions!$B$42)/12</f>
        <v>9.08775103037126</v>
      </c>
      <c r="AA27" s="59" t="n">
        <f aca="false">$Q27*(1+Assumptions!$B$42)/12</f>
        <v>9.08775103037126</v>
      </c>
      <c r="AB27" s="59" t="n">
        <f aca="false">SUM(V27:AA27)</f>
        <v>54.5265061822276</v>
      </c>
      <c r="AC27" s="59" t="n">
        <f aca="false">AB27*12/6</f>
        <v>109.053012364455</v>
      </c>
      <c r="AD27" s="6" t="n">
        <f aca="false">IF(Q27=0,0,AC27/Q27-1)</f>
        <v>0.1</v>
      </c>
    </row>
    <row r="28" customFormat="false" ht="15" hidden="false" customHeight="false" outlineLevel="0" collapsed="false">
      <c r="B28" s="49" t="s">
        <v>356</v>
      </c>
      <c r="C28" s="5" t="n">
        <f aca="false">'FY26 Actual'!D37</f>
        <v>96.1</v>
      </c>
      <c r="D28" s="6" t="n">
        <f aca="false">IF($C$11=0,0,C28/$C$11)</f>
        <v>0.00253021247465838</v>
      </c>
      <c r="E28" s="59" t="n">
        <f aca="false">$C28*Assumptions!$B$23/12</f>
        <v>7.91564283530026</v>
      </c>
      <c r="F28" s="59" t="n">
        <f aca="false">$C28*Assumptions!$B$23/12</f>
        <v>7.91564283530026</v>
      </c>
      <c r="G28" s="59" t="n">
        <f aca="false">$C28*Assumptions!$B$23/12</f>
        <v>7.91564283530026</v>
      </c>
      <c r="H28" s="59" t="n">
        <f aca="false">$C28*Assumptions!$B$23/12</f>
        <v>7.91564283530026</v>
      </c>
      <c r="I28" s="59" t="n">
        <f aca="false">$C28*Assumptions!$B$23/12</f>
        <v>7.91564283530026</v>
      </c>
      <c r="J28" s="59" t="n">
        <f aca="false">$C28*Assumptions!$B$23/12</f>
        <v>7.91564283530026</v>
      </c>
      <c r="K28" s="59" t="n">
        <f aca="false">$C28*Assumptions!$B$23/12</f>
        <v>7.91564283530026</v>
      </c>
      <c r="L28" s="59" t="n">
        <f aca="false">$C28*Assumptions!$B$23/12</f>
        <v>7.91564283530026</v>
      </c>
      <c r="M28" s="59" t="n">
        <f aca="false">$C28*Assumptions!$B$23/12</f>
        <v>7.91564283530026</v>
      </c>
      <c r="N28" s="59" t="n">
        <f aca="false">$C28*Assumptions!$B$23/12</f>
        <v>7.91564283530026</v>
      </c>
      <c r="O28" s="59" t="n">
        <f aca="false">$C28*Assumptions!$B$23/12</f>
        <v>7.91564283530026</v>
      </c>
      <c r="P28" s="59" t="n">
        <f aca="false">$C28*Assumptions!$B$23/12</f>
        <v>7.91564283530026</v>
      </c>
      <c r="Q28" s="59" t="n">
        <f aca="false">SUM(E28:P28)</f>
        <v>94.9877140236031</v>
      </c>
      <c r="R28" s="6" t="n">
        <f aca="false">IF($Q$11=0,0,Q28/$Q$11)</f>
        <v>0.00213455537131692</v>
      </c>
      <c r="S28" s="59" t="n">
        <f aca="false">Q28-C28</f>
        <v>-1.11228597639686</v>
      </c>
      <c r="T28" s="6" t="n">
        <f aca="false">IF(C28=0,0,S28/ABS(C28))</f>
        <v>-0.0115742557377405</v>
      </c>
      <c r="V28" s="59" t="n">
        <f aca="false">$Q28*(1+Assumptions!$B$42)/12</f>
        <v>8.70720711883029</v>
      </c>
      <c r="W28" s="59" t="n">
        <f aca="false">$Q28*(1+Assumptions!$B$42)/12</f>
        <v>8.70720711883029</v>
      </c>
      <c r="X28" s="59" t="n">
        <f aca="false">$Q28*(1+Assumptions!$B$42)/12</f>
        <v>8.70720711883029</v>
      </c>
      <c r="Y28" s="59" t="n">
        <f aca="false">$Q28*(1+Assumptions!$B$42)/12</f>
        <v>8.70720711883029</v>
      </c>
      <c r="Z28" s="59" t="n">
        <f aca="false">$Q28*(1+Assumptions!$B$42)/12</f>
        <v>8.70720711883029</v>
      </c>
      <c r="AA28" s="59" t="n">
        <f aca="false">$Q28*(1+Assumptions!$B$42)/12</f>
        <v>8.70720711883029</v>
      </c>
      <c r="AB28" s="59" t="n">
        <f aca="false">SUM(V28:AA28)</f>
        <v>52.2432427129817</v>
      </c>
      <c r="AC28" s="59" t="n">
        <f aca="false">AB28*12/6</f>
        <v>104.486485425963</v>
      </c>
      <c r="AD28" s="6" t="n">
        <f aca="false">IF(Q28=0,0,AC28/Q28-1)</f>
        <v>0.1</v>
      </c>
    </row>
    <row r="29" customFormat="false" ht="15" hidden="false" customHeight="false" outlineLevel="0" collapsed="false">
      <c r="B29" s="49" t="s">
        <v>357</v>
      </c>
      <c r="C29" s="5" t="n">
        <f aca="false">'FY26 Actual'!D23*Assumptions!$B$49</f>
        <v>139.958</v>
      </c>
      <c r="D29" s="6" t="n">
        <f aca="false">IF($C$11=0,0,C29/$C$11)</f>
        <v>0.00368494773702641</v>
      </c>
      <c r="E29" s="59" t="n">
        <f aca="false">$C29*Assumptions!$B$23/12</f>
        <v>11.5281741929548</v>
      </c>
      <c r="F29" s="59" t="n">
        <f aca="false">$C29*Assumptions!$B$23/12</f>
        <v>11.5281741929548</v>
      </c>
      <c r="G29" s="59" t="n">
        <f aca="false">$C29*Assumptions!$B$23/12</f>
        <v>11.5281741929548</v>
      </c>
      <c r="H29" s="59" t="n">
        <f aca="false">$C29*Assumptions!$B$23/12</f>
        <v>11.5281741929548</v>
      </c>
      <c r="I29" s="59" t="n">
        <f aca="false">$C29*Assumptions!$B$23/12</f>
        <v>11.5281741929548</v>
      </c>
      <c r="J29" s="59" t="n">
        <f aca="false">$C29*Assumptions!$B$23/12</f>
        <v>11.5281741929548</v>
      </c>
      <c r="K29" s="59" t="n">
        <f aca="false">$C29*Assumptions!$B$23/12</f>
        <v>11.5281741929548</v>
      </c>
      <c r="L29" s="59" t="n">
        <f aca="false">$C29*Assumptions!$B$23/12</f>
        <v>11.5281741929548</v>
      </c>
      <c r="M29" s="59" t="n">
        <f aca="false">$C29*Assumptions!$B$23/12</f>
        <v>11.5281741929548</v>
      </c>
      <c r="N29" s="59" t="n">
        <f aca="false">$C29*Assumptions!$B$23/12</f>
        <v>11.5281741929548</v>
      </c>
      <c r="O29" s="59" t="n">
        <f aca="false">$C29*Assumptions!$B$23/12</f>
        <v>11.5281741929548</v>
      </c>
      <c r="P29" s="59" t="n">
        <f aca="false">$C29*Assumptions!$B$23/12</f>
        <v>11.5281741929548</v>
      </c>
      <c r="Q29" s="59" t="n">
        <f aca="false">SUM(E29:P29)</f>
        <v>138.338090315457</v>
      </c>
      <c r="R29" s="6" t="n">
        <f aca="false">IF($Q$11=0,0,Q29/$Q$11)</f>
        <v>0.00310872113068443</v>
      </c>
      <c r="S29" s="59" t="n">
        <f aca="false">Q29-C29</f>
        <v>-1.61990968454268</v>
      </c>
      <c r="T29" s="6" t="n">
        <f aca="false">IF(C29=0,0,S29/ABS(C29))</f>
        <v>-0.0115742557377404</v>
      </c>
      <c r="V29" s="59" t="n">
        <f aca="false">$Q29*(1+Assumptions!$B$42)/12</f>
        <v>12.6809916122503</v>
      </c>
      <c r="W29" s="59" t="n">
        <f aca="false">$Q29*(1+Assumptions!$B$42)/12</f>
        <v>12.6809916122503</v>
      </c>
      <c r="X29" s="59" t="n">
        <f aca="false">$Q29*(1+Assumptions!$B$42)/12</f>
        <v>12.6809916122503</v>
      </c>
      <c r="Y29" s="59" t="n">
        <f aca="false">$Q29*(1+Assumptions!$B$42)/12</f>
        <v>12.6809916122503</v>
      </c>
      <c r="Z29" s="59" t="n">
        <f aca="false">$Q29*(1+Assumptions!$B$42)/12</f>
        <v>12.6809916122503</v>
      </c>
      <c r="AA29" s="59" t="n">
        <f aca="false">$Q29*(1+Assumptions!$B$42)/12</f>
        <v>12.6809916122503</v>
      </c>
      <c r="AB29" s="59" t="n">
        <f aca="false">SUM(V29:AA29)</f>
        <v>76.0859496735016</v>
      </c>
      <c r="AC29" s="59" t="n">
        <f aca="false">AB29*12/6</f>
        <v>152.171899347003</v>
      </c>
      <c r="AD29" s="6" t="n">
        <f aca="false">IF(Q29=0,0,AC29/Q29-1)</f>
        <v>0.1</v>
      </c>
    </row>
    <row r="30" customFormat="false" ht="15" hidden="false" customHeight="false" outlineLevel="0" collapsed="false">
      <c r="B30" s="49" t="s">
        <v>358</v>
      </c>
      <c r="C30" s="5" t="n">
        <f aca="false">'FY26 Actual'!D26+'FY26 Actual'!D22+'FY26 Actual'!D27</f>
        <v>385.2</v>
      </c>
      <c r="D30" s="6" t="n">
        <f aca="false">IF($C$11=0,0,C30/$C$11)</f>
        <v>0.0101419130617941</v>
      </c>
      <c r="E30" s="59" t="n">
        <f aca="false">$C30*Assumptions!$B$23/12</f>
        <v>31.7284663908185</v>
      </c>
      <c r="F30" s="59" t="n">
        <f aca="false">$C30*Assumptions!$B$23/12</f>
        <v>31.7284663908185</v>
      </c>
      <c r="G30" s="59" t="n">
        <f aca="false">$C30*Assumptions!$B$23/12</f>
        <v>31.7284663908185</v>
      </c>
      <c r="H30" s="59" t="n">
        <f aca="false">$C30*Assumptions!$B$23/12</f>
        <v>31.7284663908185</v>
      </c>
      <c r="I30" s="59" t="n">
        <f aca="false">$C30*Assumptions!$B$23/12</f>
        <v>31.7284663908185</v>
      </c>
      <c r="J30" s="59" t="n">
        <f aca="false">$C30*Assumptions!$B$23/12</f>
        <v>31.7284663908185</v>
      </c>
      <c r="K30" s="59" t="n">
        <f aca="false">$C30*Assumptions!$B$23/12</f>
        <v>31.7284663908185</v>
      </c>
      <c r="L30" s="59" t="n">
        <f aca="false">$C30*Assumptions!$B$23/12</f>
        <v>31.7284663908185</v>
      </c>
      <c r="M30" s="59" t="n">
        <f aca="false">$C30*Assumptions!$B$23/12</f>
        <v>31.7284663908185</v>
      </c>
      <c r="N30" s="59" t="n">
        <f aca="false">$C30*Assumptions!$B$23/12</f>
        <v>31.7284663908185</v>
      </c>
      <c r="O30" s="59" t="n">
        <f aca="false">$C30*Assumptions!$B$23/12</f>
        <v>31.7284663908185</v>
      </c>
      <c r="P30" s="59" t="n">
        <f aca="false">$C30*Assumptions!$B$23/12</f>
        <v>31.7284663908185</v>
      </c>
      <c r="Q30" s="59" t="n">
        <f aca="false">SUM(E30:P30)</f>
        <v>380.741596689822</v>
      </c>
      <c r="R30" s="6" t="n">
        <f aca="false">IF($Q$11=0,0,Q30/$Q$11)</f>
        <v>0.00855599093684994</v>
      </c>
      <c r="S30" s="59" t="n">
        <f aca="false">Q30-C30</f>
        <v>-4.45840331017763</v>
      </c>
      <c r="T30" s="6" t="n">
        <f aca="false">IF(C30=0,0,S30/ABS(C30))</f>
        <v>-0.0115742557377405</v>
      </c>
      <c r="V30" s="59" t="n">
        <f aca="false">$Q30*(1+Assumptions!$B$42)/12</f>
        <v>34.9013130299004</v>
      </c>
      <c r="W30" s="59" t="n">
        <f aca="false">$Q30*(1+Assumptions!$B$42)/12</f>
        <v>34.9013130299004</v>
      </c>
      <c r="X30" s="59" t="n">
        <f aca="false">$Q30*(1+Assumptions!$B$42)/12</f>
        <v>34.9013130299004</v>
      </c>
      <c r="Y30" s="59" t="n">
        <f aca="false">$Q30*(1+Assumptions!$B$42)/12</f>
        <v>34.9013130299004</v>
      </c>
      <c r="Z30" s="59" t="n">
        <f aca="false">$Q30*(1+Assumptions!$B$42)/12</f>
        <v>34.9013130299004</v>
      </c>
      <c r="AA30" s="59" t="n">
        <f aca="false">$Q30*(1+Assumptions!$B$42)/12</f>
        <v>34.9013130299004</v>
      </c>
      <c r="AB30" s="59" t="n">
        <f aca="false">SUM(V30:AA30)</f>
        <v>209.407878179402</v>
      </c>
      <c r="AC30" s="59" t="n">
        <f aca="false">AB30*12/6</f>
        <v>418.815756358805</v>
      </c>
      <c r="AD30" s="6" t="n">
        <f aca="false">IF(Q30=0,0,AC30/Q30-1)</f>
        <v>0.1</v>
      </c>
    </row>
    <row r="31" customFormat="false" ht="15" hidden="false" customHeight="false" outlineLevel="0" collapsed="false">
      <c r="B31" s="49" t="s">
        <v>359</v>
      </c>
      <c r="C31" s="5" t="n">
        <f aca="false">'FY26 Actual'!D30+'FY26 Actual'!D24</f>
        <v>472.4</v>
      </c>
      <c r="D31" s="6" t="n">
        <f aca="false">IF($C$11=0,0,C31/$C$11)</f>
        <v>0.0124377978462916</v>
      </c>
      <c r="E31" s="59" t="n">
        <f aca="false">$C31*Assumptions!$B$23/12</f>
        <v>38.9110267991243</v>
      </c>
      <c r="F31" s="59" t="n">
        <f aca="false">$C31*Assumptions!$B$23/12</f>
        <v>38.9110267991243</v>
      </c>
      <c r="G31" s="59" t="n">
        <f aca="false">$C31*Assumptions!$B$23/12</f>
        <v>38.9110267991243</v>
      </c>
      <c r="H31" s="59" t="n">
        <f aca="false">$C31*Assumptions!$B$23/12</f>
        <v>38.9110267991243</v>
      </c>
      <c r="I31" s="59" t="n">
        <f aca="false">$C31*Assumptions!$B$23/12</f>
        <v>38.9110267991243</v>
      </c>
      <c r="J31" s="59" t="n">
        <f aca="false">$C31*Assumptions!$B$23/12</f>
        <v>38.9110267991243</v>
      </c>
      <c r="K31" s="59" t="n">
        <f aca="false">$C31*Assumptions!$B$23/12</f>
        <v>38.9110267991243</v>
      </c>
      <c r="L31" s="59" t="n">
        <f aca="false">$C31*Assumptions!$B$23/12</f>
        <v>38.9110267991243</v>
      </c>
      <c r="M31" s="59" t="n">
        <f aca="false">$C31*Assumptions!$B$23/12</f>
        <v>38.9110267991243</v>
      </c>
      <c r="N31" s="59" t="n">
        <f aca="false">$C31*Assumptions!$B$23/12</f>
        <v>38.9110267991243</v>
      </c>
      <c r="O31" s="59" t="n">
        <f aca="false">$C31*Assumptions!$B$23/12</f>
        <v>38.9110267991243</v>
      </c>
      <c r="P31" s="59" t="n">
        <f aca="false">$C31*Assumptions!$B$23/12</f>
        <v>38.9110267991243</v>
      </c>
      <c r="Q31" s="59" t="n">
        <f aca="false">SUM(E31:P31)</f>
        <v>466.932321589491</v>
      </c>
      <c r="R31" s="6" t="n">
        <f aca="false">IF($Q$11=0,0,Q31/$Q$11)</f>
        <v>0.0104928611593144</v>
      </c>
      <c r="S31" s="59" t="n">
        <f aca="false">Q31-C31</f>
        <v>-5.46767841050865</v>
      </c>
      <c r="T31" s="6" t="n">
        <f aca="false">IF(C31=0,0,S31/ABS(C31))</f>
        <v>-0.0115742557377406</v>
      </c>
      <c r="V31" s="59" t="n">
        <f aca="false">$Q31*(1+Assumptions!$B$42)/12</f>
        <v>42.8021294790367</v>
      </c>
      <c r="W31" s="59" t="n">
        <f aca="false">$Q31*(1+Assumptions!$B$42)/12</f>
        <v>42.8021294790367</v>
      </c>
      <c r="X31" s="59" t="n">
        <f aca="false">$Q31*(1+Assumptions!$B$42)/12</f>
        <v>42.8021294790367</v>
      </c>
      <c r="Y31" s="59" t="n">
        <f aca="false">$Q31*(1+Assumptions!$B$42)/12</f>
        <v>42.8021294790367</v>
      </c>
      <c r="Z31" s="59" t="n">
        <f aca="false">$Q31*(1+Assumptions!$B$42)/12</f>
        <v>42.8021294790367</v>
      </c>
      <c r="AA31" s="59" t="n">
        <f aca="false">$Q31*(1+Assumptions!$B$42)/12</f>
        <v>42.8021294790367</v>
      </c>
      <c r="AB31" s="59" t="n">
        <f aca="false">SUM(V31:AA31)</f>
        <v>256.81277687422</v>
      </c>
      <c r="AC31" s="59" t="n">
        <f aca="false">AB31*12/6</f>
        <v>513.625553748441</v>
      </c>
      <c r="AD31" s="6" t="n">
        <f aca="false">IF(Q31=0,0,AC31/Q31-1)</f>
        <v>0.1</v>
      </c>
    </row>
    <row r="32" customFormat="false" ht="15" hidden="false" customHeight="false" outlineLevel="0" collapsed="false">
      <c r="B32" s="49" t="s">
        <v>360</v>
      </c>
      <c r="C32" s="5" t="n">
        <f aca="false">'FY26 Actual'!D18+'FY26 Actual'!D19+'FY26 Actual'!D20+'FY26 Actual'!D21+'FY26 Actual'!D28+'FY26 Actual'!D29+'FY26 Actual'!D35+'FY26 Actual'!D36+'FY26 Actual'!D38</f>
        <v>1897.5</v>
      </c>
      <c r="D32" s="6" t="n">
        <f aca="false">IF($C$11=0,0,C32/$C$11)</f>
        <v>0.0499591901213765</v>
      </c>
      <c r="E32" s="59" t="n">
        <f aca="false">$C32*Assumptions!$B$23/12</f>
        <v>156.29482081147</v>
      </c>
      <c r="F32" s="59" t="n">
        <f aca="false">$C32*Assumptions!$B$23/12</f>
        <v>156.29482081147</v>
      </c>
      <c r="G32" s="59" t="n">
        <f aca="false">$C32*Assumptions!$B$23/12</f>
        <v>156.29482081147</v>
      </c>
      <c r="H32" s="59" t="n">
        <f aca="false">$C32*Assumptions!$B$23/12</f>
        <v>156.29482081147</v>
      </c>
      <c r="I32" s="59" t="n">
        <f aca="false">$C32*Assumptions!$B$23/12</f>
        <v>156.29482081147</v>
      </c>
      <c r="J32" s="59" t="n">
        <f aca="false">$C32*Assumptions!$B$23/12</f>
        <v>156.29482081147</v>
      </c>
      <c r="K32" s="59" t="n">
        <f aca="false">$C32*Assumptions!$B$23/12</f>
        <v>156.29482081147</v>
      </c>
      <c r="L32" s="59" t="n">
        <f aca="false">$C32*Assumptions!$B$23/12</f>
        <v>156.29482081147</v>
      </c>
      <c r="M32" s="59" t="n">
        <f aca="false">$C32*Assumptions!$B$23/12</f>
        <v>156.29482081147</v>
      </c>
      <c r="N32" s="59" t="n">
        <f aca="false">$C32*Assumptions!$B$23/12</f>
        <v>156.29482081147</v>
      </c>
      <c r="O32" s="59" t="n">
        <f aca="false">$C32*Assumptions!$B$23/12</f>
        <v>156.29482081147</v>
      </c>
      <c r="P32" s="59" t="n">
        <f aca="false">$C32*Assumptions!$B$23/12</f>
        <v>156.29482081147</v>
      </c>
      <c r="Q32" s="59" t="n">
        <f aca="false">SUM(E32:P32)</f>
        <v>1875.53784973764</v>
      </c>
      <c r="R32" s="6" t="n">
        <f aca="false">IF($Q$11=0,0,Q32/$Q$11)</f>
        <v>0.0421469179716323</v>
      </c>
      <c r="S32" s="59" t="n">
        <f aca="false">Q32-C32</f>
        <v>-21.9621502623627</v>
      </c>
      <c r="T32" s="6" t="n">
        <f aca="false">IF(C32=0,0,S32/ABS(C32))</f>
        <v>-0.0115742557377405</v>
      </c>
      <c r="V32" s="59" t="n">
        <f aca="false">$Q32*(1+Assumptions!$B$42)/12</f>
        <v>171.924302892617</v>
      </c>
      <c r="W32" s="59" t="n">
        <f aca="false">$Q32*(1+Assumptions!$B$42)/12</f>
        <v>171.924302892617</v>
      </c>
      <c r="X32" s="59" t="n">
        <f aca="false">$Q32*(1+Assumptions!$B$42)/12</f>
        <v>171.924302892617</v>
      </c>
      <c r="Y32" s="59" t="n">
        <f aca="false">$Q32*(1+Assumptions!$B$42)/12</f>
        <v>171.924302892617</v>
      </c>
      <c r="Z32" s="59" t="n">
        <f aca="false">$Q32*(1+Assumptions!$B$42)/12</f>
        <v>171.924302892617</v>
      </c>
      <c r="AA32" s="59" t="n">
        <f aca="false">$Q32*(1+Assumptions!$B$42)/12</f>
        <v>171.924302892617</v>
      </c>
      <c r="AB32" s="59" t="n">
        <f aca="false">SUM(V32:AA32)</f>
        <v>1031.5458173557</v>
      </c>
      <c r="AC32" s="59" t="n">
        <f aca="false">AB32*12/6</f>
        <v>2063.0916347114</v>
      </c>
      <c r="AD32" s="6" t="n">
        <f aca="false">IF(Q32=0,0,AC32/Q32-1)</f>
        <v>0.1</v>
      </c>
    </row>
    <row r="33" customFormat="false" ht="15" hidden="false" customHeight="false" outlineLevel="0" collapsed="false">
      <c r="B33" s="63" t="s">
        <v>353</v>
      </c>
      <c r="C33" s="64" t="n">
        <f aca="false">SUM(C26:C32)</f>
        <v>5526.0066</v>
      </c>
      <c r="D33" s="65" t="n">
        <f aca="false">IF($C$11=0,0,C33/$C$11)</f>
        <v>0.145493973302441</v>
      </c>
      <c r="E33" s="64" t="n">
        <f aca="false">SUM(E26:E32)</f>
        <v>455.17059886693</v>
      </c>
      <c r="F33" s="64" t="n">
        <f aca="false">SUM(F26:F32)</f>
        <v>455.17059886693</v>
      </c>
      <c r="G33" s="64" t="n">
        <f aca="false">SUM(G26:G32)</f>
        <v>455.17059886693</v>
      </c>
      <c r="H33" s="64" t="n">
        <f aca="false">SUM(H26:H32)</f>
        <v>455.17059886693</v>
      </c>
      <c r="I33" s="64" t="n">
        <f aca="false">SUM(I26:I32)</f>
        <v>455.17059886693</v>
      </c>
      <c r="J33" s="64" t="n">
        <f aca="false">SUM(J26:J32)</f>
        <v>455.17059886693</v>
      </c>
      <c r="K33" s="64" t="n">
        <f aca="false">SUM(K26:K32)</f>
        <v>455.17059886693</v>
      </c>
      <c r="L33" s="64" t="n">
        <f aca="false">SUM(L26:L32)</f>
        <v>455.17059886693</v>
      </c>
      <c r="M33" s="64" t="n">
        <f aca="false">SUM(M26:M32)</f>
        <v>455.17059886693</v>
      </c>
      <c r="N33" s="64" t="n">
        <f aca="false">SUM(N26:N32)</f>
        <v>455.17059886693</v>
      </c>
      <c r="O33" s="64" t="n">
        <f aca="false">SUM(O26:O32)</f>
        <v>455.17059886693</v>
      </c>
      <c r="P33" s="64" t="n">
        <f aca="false">SUM(P26:P32)</f>
        <v>455.17059886693</v>
      </c>
      <c r="Q33" s="64" t="n">
        <f aca="false">SUM(Q26:Q32)</f>
        <v>5462.04718640316</v>
      </c>
      <c r="R33" s="65" t="n">
        <f aca="false">IF($Q$11=0,0,Q33/$Q$11)</f>
        <v>0.122742633402318</v>
      </c>
      <c r="S33" s="64" t="n">
        <f aca="false">Q33-C33</f>
        <v>-63.9594135968428</v>
      </c>
      <c r="T33" s="65" t="n">
        <f aca="false">IF(C33=0,0,S33/ABS(C33))</f>
        <v>-0.0115742557377407</v>
      </c>
      <c r="V33" s="64" t="n">
        <f aca="false">SUM(V26:V32)</f>
        <v>500.687658753623</v>
      </c>
      <c r="W33" s="64" t="n">
        <f aca="false">SUM(W26:W32)</f>
        <v>500.687658753623</v>
      </c>
      <c r="X33" s="64" t="n">
        <f aca="false">SUM(X26:X32)</f>
        <v>500.687658753623</v>
      </c>
      <c r="Y33" s="64" t="n">
        <f aca="false">SUM(Y26:Y32)</f>
        <v>500.687658753623</v>
      </c>
      <c r="Z33" s="64" t="n">
        <f aca="false">SUM(Z26:Z32)</f>
        <v>500.687658753623</v>
      </c>
      <c r="AA33" s="64" t="n">
        <f aca="false">SUM(AA26:AA32)</f>
        <v>500.687658753623</v>
      </c>
      <c r="AB33" s="64" t="n">
        <f aca="false">SUM(AB26:AB32)</f>
        <v>3004.12595252174</v>
      </c>
      <c r="AC33" s="64" t="n">
        <f aca="false">AB33*12/6</f>
        <v>6008.25190504348</v>
      </c>
      <c r="AD33" s="65" t="n">
        <f aca="false">IF(Q33=0,0,AC33/Q33-1)</f>
        <v>0.1</v>
      </c>
    </row>
    <row r="34" customFormat="false" ht="15" hidden="false" customHeight="false" outlineLevel="0" collapsed="false">
      <c r="B34" s="1" t="s">
        <v>361</v>
      </c>
      <c r="C34" s="66" t="n">
        <f aca="false">IF(C11=0,0,C33/C11)</f>
        <v>0.145493973302441</v>
      </c>
      <c r="E34" s="66" t="n">
        <f aca="false">IF(E11=0,0,E33/E11)</f>
        <v>0.137296010517134</v>
      </c>
      <c r="F34" s="66" t="n">
        <f aca="false">IF(F11=0,0,F33/F11)</f>
        <v>0.21177127916204</v>
      </c>
      <c r="G34" s="66" t="n">
        <f aca="false">IF(G11=0,0,G33/G11)</f>
        <v>0.163134813134394</v>
      </c>
      <c r="H34" s="66" t="n">
        <f aca="false">IF(H11=0,0,H33/H11)</f>
        <v>0.143457963303317</v>
      </c>
      <c r="I34" s="66" t="n">
        <f aca="false">IF(I11=0,0,I33/I11)</f>
        <v>0.135298317242414</v>
      </c>
      <c r="J34" s="66" t="n">
        <f aca="false">IF(J11=0,0,J33/J11)</f>
        <v>0.127379237652883</v>
      </c>
      <c r="K34" s="66" t="n">
        <f aca="false">IF(K11=0,0,K33/K11)</f>
        <v>0.119213901905903</v>
      </c>
      <c r="L34" s="66" t="n">
        <f aca="false">IF(L11=0,0,L33/L11)</f>
        <v>0.117840469856296</v>
      </c>
      <c r="M34" s="66" t="n">
        <f aca="false">IF(M11=0,0,M33/M11)</f>
        <v>0.114927559365466</v>
      </c>
      <c r="N34" s="66" t="n">
        <f aca="false">IF(N11=0,0,N33/N11)</f>
        <v>0.0980685789408103</v>
      </c>
      <c r="O34" s="66" t="n">
        <f aca="false">IF(O11=0,0,O33/O11)</f>
        <v>0.0941855689090839</v>
      </c>
      <c r="P34" s="66" t="n">
        <f aca="false">IF(P11=0,0,P33/P11)</f>
        <v>0.0906786594284265</v>
      </c>
      <c r="Q34" s="66" t="n">
        <f aca="false">IF(Q11=0,0,Q33/Q11)</f>
        <v>0.122742633402318</v>
      </c>
      <c r="V34" s="66" t="n">
        <f aca="false">IF(V11=0,0,V33/V11)</f>
        <v>0.122742633402318</v>
      </c>
      <c r="W34" s="66" t="n">
        <f aca="false">IF(W11=0,0,W33/W11)</f>
        <v>0.122742633402318</v>
      </c>
      <c r="X34" s="66" t="n">
        <f aca="false">IF(X11=0,0,X33/X11)</f>
        <v>0.122742633402318</v>
      </c>
      <c r="Y34" s="66" t="n">
        <f aca="false">IF(Y11=0,0,Y33/Y11)</f>
        <v>0.122742633402318</v>
      </c>
      <c r="Z34" s="66" t="n">
        <f aca="false">IF(Z11=0,0,Z33/Z11)</f>
        <v>0.122742633402318</v>
      </c>
      <c r="AA34" s="66" t="n">
        <f aca="false">IF(AA11=0,0,AA33/AA11)</f>
        <v>0.122742633402318</v>
      </c>
      <c r="AB34" s="66" t="n">
        <f aca="false">IF(AB11=0,0,AB33/AB11)</f>
        <v>0.122742633402318</v>
      </c>
      <c r="AC34" s="66" t="n">
        <f aca="false">IF(AC11=0,0,AC33/AC11)</f>
        <v>0.122742633402318</v>
      </c>
    </row>
    <row r="36" customFormat="false" ht="15" hidden="false" customHeight="false" outlineLevel="0" collapsed="false">
      <c r="B36" s="11" t="s">
        <v>362</v>
      </c>
      <c r="C36" s="12"/>
      <c r="D36" s="12"/>
      <c r="E36" s="12"/>
      <c r="F36" s="12"/>
      <c r="G36" s="12"/>
      <c r="H36" s="12"/>
      <c r="I36" s="12"/>
      <c r="J36" s="12"/>
      <c r="K36" s="12"/>
      <c r="L36" s="12"/>
      <c r="M36" s="12"/>
      <c r="N36" s="12"/>
      <c r="O36" s="12"/>
      <c r="P36" s="12"/>
      <c r="Q36" s="12"/>
      <c r="R36" s="12"/>
      <c r="S36" s="12"/>
      <c r="T36" s="12"/>
      <c r="V36" s="12"/>
      <c r="W36" s="12"/>
      <c r="X36" s="12"/>
      <c r="Y36" s="12"/>
      <c r="Z36" s="12"/>
      <c r="AA36" s="12"/>
      <c r="AB36" s="12"/>
      <c r="AC36" s="12"/>
      <c r="AD36" s="12"/>
    </row>
    <row r="37" customFormat="false" ht="15" hidden="false" customHeight="false" outlineLevel="0" collapsed="false">
      <c r="B37" s="49" t="s">
        <v>363</v>
      </c>
      <c r="C37" s="5" t="n">
        <f aca="false">('FY26 Actual'!D9+'FY26 Actual'!D10+'FY26 Actual'!D11)*Assumptions!$B$47</f>
        <v>1942.7206</v>
      </c>
      <c r="D37" s="6" t="n">
        <f aca="false">IF($C$11=0,0,C37/$C$11)</f>
        <v>0.0511498012163977</v>
      </c>
      <c r="E37" s="59" t="n">
        <f aca="false">$C37*Assumptions!$B$23/12</f>
        <v>160.019587912385</v>
      </c>
      <c r="F37" s="59" t="n">
        <f aca="false">$C37*Assumptions!$B$23/12</f>
        <v>160.019587912385</v>
      </c>
      <c r="G37" s="59" t="n">
        <f aca="false">$C37*Assumptions!$B$23/12</f>
        <v>160.019587912385</v>
      </c>
      <c r="H37" s="59" t="n">
        <f aca="false">$C37*Assumptions!$B$23/12</f>
        <v>160.019587912385</v>
      </c>
      <c r="I37" s="59" t="n">
        <f aca="false">$C37*Assumptions!$B$23/12</f>
        <v>160.019587912385</v>
      </c>
      <c r="J37" s="59" t="n">
        <f aca="false">$C37*Assumptions!$B$23/12</f>
        <v>160.019587912385</v>
      </c>
      <c r="K37" s="59" t="n">
        <f aca="false">$C37*Assumptions!$B$23/12</f>
        <v>160.019587912385</v>
      </c>
      <c r="L37" s="59" t="n">
        <f aca="false">$C37*Assumptions!$B$23/12</f>
        <v>160.019587912385</v>
      </c>
      <c r="M37" s="59" t="n">
        <f aca="false">$C37*Assumptions!$B$23/12</f>
        <v>160.019587912385</v>
      </c>
      <c r="N37" s="59" t="n">
        <f aca="false">$C37*Assumptions!$B$23/12</f>
        <v>160.019587912385</v>
      </c>
      <c r="O37" s="59" t="n">
        <f aca="false">$C37*Assumptions!$B$23/12</f>
        <v>160.019587912385</v>
      </c>
      <c r="P37" s="59" t="n">
        <f aca="false">$C37*Assumptions!$B$23/12</f>
        <v>160.019587912385</v>
      </c>
      <c r="Q37" s="59" t="n">
        <f aca="false">SUM(E37:P37)</f>
        <v>1920.23505494862</v>
      </c>
      <c r="R37" s="6" t="n">
        <f aca="false">IF($Q$11=0,0,Q37/$Q$11)</f>
        <v>0.0431513495494073</v>
      </c>
      <c r="S37" s="59" t="n">
        <f aca="false">Q37-C37</f>
        <v>-22.4855450513767</v>
      </c>
      <c r="T37" s="6" t="n">
        <f aca="false">IF(C37=0,0,S37/ABS(C37))</f>
        <v>-0.0115742557377405</v>
      </c>
      <c r="V37" s="59" t="n">
        <f aca="false">$Q37*(1+Assumptions!$B$42)/12</f>
        <v>176.021546703624</v>
      </c>
      <c r="W37" s="59" t="n">
        <f aca="false">$Q37*(1+Assumptions!$B$42)/12</f>
        <v>176.021546703624</v>
      </c>
      <c r="X37" s="59" t="n">
        <f aca="false">$Q37*(1+Assumptions!$B$42)/12</f>
        <v>176.021546703624</v>
      </c>
      <c r="Y37" s="59" t="n">
        <f aca="false">$Q37*(1+Assumptions!$B$42)/12</f>
        <v>176.021546703624</v>
      </c>
      <c r="Z37" s="59" t="n">
        <f aca="false">$Q37*(1+Assumptions!$B$42)/12</f>
        <v>176.021546703624</v>
      </c>
      <c r="AA37" s="59" t="n">
        <f aca="false">$Q37*(1+Assumptions!$B$42)/12</f>
        <v>176.021546703624</v>
      </c>
      <c r="AB37" s="59" t="n">
        <f aca="false">SUM(V37:AA37)</f>
        <v>1056.12928022174</v>
      </c>
      <c r="AC37" s="59" t="n">
        <f aca="false">AB37*12/6</f>
        <v>2112.25856044349</v>
      </c>
      <c r="AD37" s="6" t="n">
        <f aca="false">IF(Q37=0,0,AC37/Q37-1)</f>
        <v>0.1</v>
      </c>
    </row>
    <row r="38" customFormat="false" ht="15" hidden="false" customHeight="false" outlineLevel="0" collapsed="false">
      <c r="B38" s="49" t="s">
        <v>364</v>
      </c>
      <c r="C38" s="5" t="n">
        <f aca="false">'FY26 Actual'!D25</f>
        <v>249.8</v>
      </c>
      <c r="D38" s="6" t="n">
        <f aca="false">IF($C$11=0,0,C38/$C$11)</f>
        <v>0.00657697269687475</v>
      </c>
      <c r="E38" s="59" t="n">
        <f aca="false">$C38*Assumptions!$B$23/12</f>
        <v>20.5757292430594</v>
      </c>
      <c r="F38" s="59" t="n">
        <f aca="false">$C38*Assumptions!$B$23/12</f>
        <v>20.5757292430594</v>
      </c>
      <c r="G38" s="59" t="n">
        <f aca="false">$C38*Assumptions!$B$23/12</f>
        <v>20.5757292430594</v>
      </c>
      <c r="H38" s="59" t="n">
        <f aca="false">$C38*Assumptions!$B$23/12</f>
        <v>20.5757292430594</v>
      </c>
      <c r="I38" s="59" t="n">
        <f aca="false">$C38*Assumptions!$B$23/12</f>
        <v>20.5757292430594</v>
      </c>
      <c r="J38" s="59" t="n">
        <f aca="false">$C38*Assumptions!$B$23/12</f>
        <v>20.5757292430594</v>
      </c>
      <c r="K38" s="59" t="n">
        <f aca="false">$C38*Assumptions!$B$23/12</f>
        <v>20.5757292430594</v>
      </c>
      <c r="L38" s="59" t="n">
        <f aca="false">$C38*Assumptions!$B$23/12</f>
        <v>20.5757292430594</v>
      </c>
      <c r="M38" s="59" t="n">
        <f aca="false">$C38*Assumptions!$B$23/12</f>
        <v>20.5757292430594</v>
      </c>
      <c r="N38" s="59" t="n">
        <f aca="false">$C38*Assumptions!$B$23/12</f>
        <v>20.5757292430594</v>
      </c>
      <c r="O38" s="59" t="n">
        <f aca="false">$C38*Assumptions!$B$23/12</f>
        <v>20.5757292430594</v>
      </c>
      <c r="P38" s="59" t="n">
        <f aca="false">$C38*Assumptions!$B$23/12</f>
        <v>20.5757292430594</v>
      </c>
      <c r="Q38" s="59" t="n">
        <f aca="false">SUM(E38:P38)</f>
        <v>246.908750916712</v>
      </c>
      <c r="R38" s="6" t="n">
        <f aca="false">IF($Q$11=0,0,Q38/$Q$11)</f>
        <v>0.00554851125655534</v>
      </c>
      <c r="S38" s="59" t="n">
        <f aca="false">Q38-C38</f>
        <v>-2.89124908328762</v>
      </c>
      <c r="T38" s="6" t="n">
        <f aca="false">IF(C38=0,0,S38/ABS(C38))</f>
        <v>-0.0115742557377407</v>
      </c>
      <c r="V38" s="59" t="n">
        <f aca="false">$Q38*(1+Assumptions!$B$42)/12</f>
        <v>22.6333021673653</v>
      </c>
      <c r="W38" s="59" t="n">
        <f aca="false">$Q38*(1+Assumptions!$B$42)/12</f>
        <v>22.6333021673653</v>
      </c>
      <c r="X38" s="59" t="n">
        <f aca="false">$Q38*(1+Assumptions!$B$42)/12</f>
        <v>22.6333021673653</v>
      </c>
      <c r="Y38" s="59" t="n">
        <f aca="false">$Q38*(1+Assumptions!$B$42)/12</f>
        <v>22.6333021673653</v>
      </c>
      <c r="Z38" s="59" t="n">
        <f aca="false">$Q38*(1+Assumptions!$B$42)/12</f>
        <v>22.6333021673653</v>
      </c>
      <c r="AA38" s="59" t="n">
        <f aca="false">$Q38*(1+Assumptions!$B$42)/12</f>
        <v>22.6333021673653</v>
      </c>
      <c r="AB38" s="59" t="n">
        <f aca="false">SUM(V38:AA38)</f>
        <v>135.799813004192</v>
      </c>
      <c r="AC38" s="59" t="n">
        <f aca="false">AB38*12/6</f>
        <v>271.599626008384</v>
      </c>
      <c r="AD38" s="6" t="n">
        <f aca="false">IF(Q38=0,0,AC38/Q38-1)</f>
        <v>0.1</v>
      </c>
    </row>
    <row r="39" customFormat="false" ht="15" hidden="false" customHeight="false" outlineLevel="0" collapsed="false">
      <c r="B39" s="49" t="s">
        <v>365</v>
      </c>
      <c r="C39" s="5" t="n">
        <f aca="false">'FY26 Actual'!D23*Assumptions!$B$50</f>
        <v>623.8128</v>
      </c>
      <c r="D39" s="6" t="n">
        <f aca="false">IF($C$11=0,0,C39/$C$11)</f>
        <v>0.016424338485032</v>
      </c>
      <c r="E39" s="59" t="n">
        <f aca="false">$C39*Assumptions!$B$23/12</f>
        <v>51.382719260027</v>
      </c>
      <c r="F39" s="59" t="n">
        <f aca="false">$C39*Assumptions!$B$23/12</f>
        <v>51.382719260027</v>
      </c>
      <c r="G39" s="59" t="n">
        <f aca="false">$C39*Assumptions!$B$23/12</f>
        <v>51.382719260027</v>
      </c>
      <c r="H39" s="59" t="n">
        <f aca="false">$C39*Assumptions!$B$23/12</f>
        <v>51.382719260027</v>
      </c>
      <c r="I39" s="59" t="n">
        <f aca="false">$C39*Assumptions!$B$23/12</f>
        <v>51.382719260027</v>
      </c>
      <c r="J39" s="59" t="n">
        <f aca="false">$C39*Assumptions!$B$23/12</f>
        <v>51.382719260027</v>
      </c>
      <c r="K39" s="59" t="n">
        <f aca="false">$C39*Assumptions!$B$23/12</f>
        <v>51.382719260027</v>
      </c>
      <c r="L39" s="59" t="n">
        <f aca="false">$C39*Assumptions!$B$23/12</f>
        <v>51.382719260027</v>
      </c>
      <c r="M39" s="59" t="n">
        <f aca="false">$C39*Assumptions!$B$23/12</f>
        <v>51.382719260027</v>
      </c>
      <c r="N39" s="59" t="n">
        <f aca="false">$C39*Assumptions!$B$23/12</f>
        <v>51.382719260027</v>
      </c>
      <c r="O39" s="59" t="n">
        <f aca="false">$C39*Assumptions!$B$23/12</f>
        <v>51.382719260027</v>
      </c>
      <c r="P39" s="59" t="n">
        <f aca="false">$C39*Assumptions!$B$23/12</f>
        <v>51.382719260027</v>
      </c>
      <c r="Q39" s="59" t="n">
        <f aca="false">SUM(E39:P39)</f>
        <v>616.592631120324</v>
      </c>
      <c r="R39" s="6" t="n">
        <f aca="false">IF($Q$11=0,0,Q39/$Q$11)</f>
        <v>0.0138560141824792</v>
      </c>
      <c r="S39" s="59" t="n">
        <f aca="false">Q39-C39</f>
        <v>-7.22016887967595</v>
      </c>
      <c r="T39" s="6" t="n">
        <f aca="false">IF(C39=0,0,S39/ABS(C39))</f>
        <v>-0.0115742557377405</v>
      </c>
      <c r="V39" s="59" t="n">
        <f aca="false">$Q39*(1+Assumptions!$B$42)/12</f>
        <v>56.5209911860297</v>
      </c>
      <c r="W39" s="59" t="n">
        <f aca="false">$Q39*(1+Assumptions!$B$42)/12</f>
        <v>56.5209911860297</v>
      </c>
      <c r="X39" s="59" t="n">
        <f aca="false">$Q39*(1+Assumptions!$B$42)/12</f>
        <v>56.5209911860297</v>
      </c>
      <c r="Y39" s="59" t="n">
        <f aca="false">$Q39*(1+Assumptions!$B$42)/12</f>
        <v>56.5209911860297</v>
      </c>
      <c r="Z39" s="59" t="n">
        <f aca="false">$Q39*(1+Assumptions!$B$42)/12</f>
        <v>56.5209911860297</v>
      </c>
      <c r="AA39" s="59" t="n">
        <f aca="false">$Q39*(1+Assumptions!$B$42)/12</f>
        <v>56.5209911860297</v>
      </c>
      <c r="AB39" s="59" t="n">
        <f aca="false">SUM(V39:AA39)</f>
        <v>339.125947116178</v>
      </c>
      <c r="AC39" s="59" t="n">
        <f aca="false">AB39*12/6</f>
        <v>678.251894232357</v>
      </c>
      <c r="AD39" s="6" t="n">
        <f aca="false">IF(Q39=0,0,AC39/Q39-1)</f>
        <v>0.1</v>
      </c>
    </row>
    <row r="40" customFormat="false" ht="15" hidden="false" customHeight="false" outlineLevel="0" collapsed="false">
      <c r="B40" s="63" t="s">
        <v>362</v>
      </c>
      <c r="C40" s="64" t="n">
        <f aca="false">SUM(C37:C39)</f>
        <v>2816.3334</v>
      </c>
      <c r="D40" s="65" t="n">
        <f aca="false">IF($C$11=0,0,C40/$C$11)</f>
        <v>0.0741511123983045</v>
      </c>
      <c r="E40" s="64" t="n">
        <f aca="false">SUM(E37:E39)</f>
        <v>231.978036415472</v>
      </c>
      <c r="F40" s="64" t="n">
        <f aca="false">SUM(F37:F39)</f>
        <v>231.978036415472</v>
      </c>
      <c r="G40" s="64" t="n">
        <f aca="false">SUM(G37:G39)</f>
        <v>231.978036415472</v>
      </c>
      <c r="H40" s="64" t="n">
        <f aca="false">SUM(H37:H39)</f>
        <v>231.978036415472</v>
      </c>
      <c r="I40" s="64" t="n">
        <f aca="false">SUM(I37:I39)</f>
        <v>231.978036415472</v>
      </c>
      <c r="J40" s="64" t="n">
        <f aca="false">SUM(J37:J39)</f>
        <v>231.978036415472</v>
      </c>
      <c r="K40" s="64" t="n">
        <f aca="false">SUM(K37:K39)</f>
        <v>231.978036415472</v>
      </c>
      <c r="L40" s="64" t="n">
        <f aca="false">SUM(L37:L39)</f>
        <v>231.978036415472</v>
      </c>
      <c r="M40" s="64" t="n">
        <f aca="false">SUM(M37:M39)</f>
        <v>231.978036415472</v>
      </c>
      <c r="N40" s="64" t="n">
        <f aca="false">SUM(N37:N39)</f>
        <v>231.978036415472</v>
      </c>
      <c r="O40" s="64" t="n">
        <f aca="false">SUM(O37:O39)</f>
        <v>231.978036415472</v>
      </c>
      <c r="P40" s="64" t="n">
        <f aca="false">SUM(P37:P39)</f>
        <v>231.978036415472</v>
      </c>
      <c r="Q40" s="64" t="n">
        <f aca="false">SUM(Q37:Q39)</f>
        <v>2783.73643698566</v>
      </c>
      <c r="R40" s="65" t="n">
        <f aca="false">IF($Q$11=0,0,Q40/$Q$11)</f>
        <v>0.0625558749884418</v>
      </c>
      <c r="S40" s="64" t="n">
        <f aca="false">Q40-C40</f>
        <v>-32.59696301434</v>
      </c>
      <c r="T40" s="65" t="n">
        <f aca="false">IF(C40=0,0,S40/ABS(C40))</f>
        <v>-0.0115742557377404</v>
      </c>
      <c r="V40" s="64" t="n">
        <f aca="false">SUM(V37:V39)</f>
        <v>255.175840057019</v>
      </c>
      <c r="W40" s="64" t="n">
        <f aca="false">SUM(W37:W39)</f>
        <v>255.175840057019</v>
      </c>
      <c r="X40" s="64" t="n">
        <f aca="false">SUM(X37:X39)</f>
        <v>255.175840057019</v>
      </c>
      <c r="Y40" s="64" t="n">
        <f aca="false">SUM(Y37:Y39)</f>
        <v>255.175840057019</v>
      </c>
      <c r="Z40" s="64" t="n">
        <f aca="false">SUM(Z37:Z39)</f>
        <v>255.175840057019</v>
      </c>
      <c r="AA40" s="64" t="n">
        <f aca="false">SUM(AA37:AA39)</f>
        <v>255.175840057019</v>
      </c>
      <c r="AB40" s="64" t="n">
        <f aca="false">SUM(AB37:AB39)</f>
        <v>1531.05504034211</v>
      </c>
      <c r="AC40" s="64" t="n">
        <f aca="false">AB40*12/6</f>
        <v>3062.11008068423</v>
      </c>
      <c r="AD40" s="65" t="n">
        <f aca="false">IF(Q40=0,0,AC40/Q40-1)</f>
        <v>0.1</v>
      </c>
    </row>
    <row r="41" customFormat="false" ht="15" hidden="false" customHeight="false" outlineLevel="0" collapsed="false">
      <c r="B41" s="1" t="s">
        <v>361</v>
      </c>
      <c r="C41" s="66" t="n">
        <f aca="false">IF(C11=0,0,C40/C11)</f>
        <v>0.0741511123983045</v>
      </c>
      <c r="E41" s="66" t="n">
        <f aca="false">IF(E11=0,0,E40/E11)</f>
        <v>0.0699730145284584</v>
      </c>
      <c r="F41" s="66" t="n">
        <f aca="false">IF(F11=0,0,F40/F11)</f>
        <v>0.107929390939341</v>
      </c>
      <c r="G41" s="66" t="n">
        <f aca="false">IF(G11=0,0,G40/G11)</f>
        <v>0.0831417796231284</v>
      </c>
      <c r="H41" s="66" t="n">
        <f aca="false">IF(H11=0,0,H40/H11)</f>
        <v>0.073113458378263</v>
      </c>
      <c r="I41" s="66" t="n">
        <f aca="false">IF(I11=0,0,I40/I11)</f>
        <v>0.0689548886556898</v>
      </c>
      <c r="J41" s="66" t="n">
        <f aca="false">IF(J11=0,0,J40/J11)</f>
        <v>0.0649189238153195</v>
      </c>
      <c r="K41" s="66" t="n">
        <f aca="false">IF(K11=0,0,K40/K11)</f>
        <v>0.0607574543399785</v>
      </c>
      <c r="L41" s="66" t="n">
        <f aca="false">IF(L11=0,0,L40/L11)</f>
        <v>0.0600574836678589</v>
      </c>
      <c r="M41" s="66" t="n">
        <f aca="false">IF(M11=0,0,M40/M11)</f>
        <v>0.0585729166558444</v>
      </c>
      <c r="N41" s="66" t="n">
        <f aca="false">IF(N11=0,0,N40/N11)</f>
        <v>0.0499807246631846</v>
      </c>
      <c r="O41" s="66" t="n">
        <f aca="false">IF(O11=0,0,O40/O11)</f>
        <v>0.0480017456940161</v>
      </c>
      <c r="P41" s="66" t="n">
        <f aca="false">IF(P11=0,0,P40/P11)</f>
        <v>0.0462144466522177</v>
      </c>
      <c r="Q41" s="66" t="n">
        <f aca="false">IF(Q11=0,0,Q40/Q11)</f>
        <v>0.0625558749884418</v>
      </c>
      <c r="V41" s="66" t="n">
        <f aca="false">IF(V11=0,0,V40/V11)</f>
        <v>0.0625558749884418</v>
      </c>
      <c r="W41" s="66" t="n">
        <f aca="false">IF(W11=0,0,W40/W11)</f>
        <v>0.0625558749884418</v>
      </c>
      <c r="X41" s="66" t="n">
        <f aca="false">IF(X11=0,0,X40/X11)</f>
        <v>0.0625558749884418</v>
      </c>
      <c r="Y41" s="66" t="n">
        <f aca="false">IF(Y11=0,0,Y40/Y11)</f>
        <v>0.0625558749884418</v>
      </c>
      <c r="Z41" s="66" t="n">
        <f aca="false">IF(Z11=0,0,Z40/Z11)</f>
        <v>0.0625558749884418</v>
      </c>
      <c r="AA41" s="66" t="n">
        <f aca="false">IF(AA11=0,0,AA40/AA11)</f>
        <v>0.0625558749884418</v>
      </c>
      <c r="AB41" s="66" t="n">
        <f aca="false">IF(AB11=0,0,AB40/AB11)</f>
        <v>0.0625558749884418</v>
      </c>
      <c r="AC41" s="66" t="n">
        <f aca="false">IF(AC11=0,0,AC40/AC11)</f>
        <v>0.0625558749884418</v>
      </c>
    </row>
    <row r="43" customFormat="false" ht="15" hidden="false" customHeight="false" outlineLevel="0" collapsed="false">
      <c r="B43" s="11" t="s">
        <v>366</v>
      </c>
      <c r="C43" s="12"/>
      <c r="D43" s="12"/>
      <c r="E43" s="12"/>
      <c r="F43" s="12"/>
      <c r="G43" s="12"/>
      <c r="H43" s="12"/>
      <c r="I43" s="12"/>
      <c r="J43" s="12"/>
      <c r="K43" s="12"/>
      <c r="L43" s="12"/>
      <c r="M43" s="12"/>
      <c r="N43" s="12"/>
      <c r="O43" s="12"/>
      <c r="P43" s="12"/>
      <c r="Q43" s="12"/>
      <c r="R43" s="12"/>
      <c r="S43" s="12"/>
      <c r="T43" s="12"/>
      <c r="V43" s="12"/>
      <c r="W43" s="12"/>
      <c r="X43" s="12"/>
      <c r="Y43" s="12"/>
      <c r="Z43" s="12"/>
      <c r="AA43" s="12"/>
      <c r="AB43" s="12"/>
      <c r="AC43" s="12"/>
      <c r="AD43" s="12"/>
    </row>
    <row r="44" customFormat="false" ht="15" hidden="false" customHeight="false" outlineLevel="0" collapsed="false">
      <c r="B44" s="63" t="s">
        <v>367</v>
      </c>
      <c r="C44" s="64" t="n">
        <f aca="false">C21+C33+C40</f>
        <v>36952.7</v>
      </c>
      <c r="D44" s="65" t="n">
        <f aca="false">IF($C$11=0,0,C44/$C$11)</f>
        <v>0.972925936652537</v>
      </c>
      <c r="E44" s="64" t="n">
        <f aca="false">E21+E33+E40</f>
        <v>3043.75</v>
      </c>
      <c r="F44" s="64" t="n">
        <f aca="false">F21+F33+F40</f>
        <v>3043.75</v>
      </c>
      <c r="G44" s="64" t="n">
        <f aca="false">G21+G33+G40</f>
        <v>3043.75</v>
      </c>
      <c r="H44" s="64" t="n">
        <f aca="false">H21+H33+H40</f>
        <v>3043.75</v>
      </c>
      <c r="I44" s="64" t="n">
        <f aca="false">I21+I33+I40</f>
        <v>3043.75</v>
      </c>
      <c r="J44" s="64" t="n">
        <f aca="false">J21+J33+J40</f>
        <v>3043.75</v>
      </c>
      <c r="K44" s="64" t="n">
        <f aca="false">K21+K33+K40</f>
        <v>3043.75</v>
      </c>
      <c r="L44" s="64" t="n">
        <f aca="false">L21+L33+L40</f>
        <v>3043.75</v>
      </c>
      <c r="M44" s="64" t="n">
        <f aca="false">M21+M33+M40</f>
        <v>3043.75</v>
      </c>
      <c r="N44" s="64" t="n">
        <f aca="false">N21+N33+N40</f>
        <v>3043.75</v>
      </c>
      <c r="O44" s="64" t="n">
        <f aca="false">O21+O33+O40</f>
        <v>3043.75</v>
      </c>
      <c r="P44" s="64" t="n">
        <f aca="false">P21+P33+P40</f>
        <v>3043.75</v>
      </c>
      <c r="Q44" s="64" t="n">
        <f aca="false">Q21+Q33+Q40</f>
        <v>36525</v>
      </c>
      <c r="R44" s="65" t="n">
        <f aca="false">IF($Q$11=0,0,Q44/$Q$11)</f>
        <v>0.820786516853932</v>
      </c>
      <c r="S44" s="64" t="n">
        <f aca="false">Q44-C44</f>
        <v>-427.700000000012</v>
      </c>
      <c r="T44" s="65" t="n">
        <f aca="false">IF(C44=0,0,S44/ABS(C44))</f>
        <v>-0.0115742557377407</v>
      </c>
      <c r="V44" s="64" t="n">
        <f aca="false">V21+V33+V40</f>
        <v>3348.125</v>
      </c>
      <c r="W44" s="64" t="n">
        <f aca="false">W21+W33+W40</f>
        <v>3348.125</v>
      </c>
      <c r="X44" s="64" t="n">
        <f aca="false">X21+X33+X40</f>
        <v>3348.125</v>
      </c>
      <c r="Y44" s="64" t="n">
        <f aca="false">Y21+Y33+Y40</f>
        <v>3348.125</v>
      </c>
      <c r="Z44" s="64" t="n">
        <f aca="false">Z21+Z33+Z40</f>
        <v>3348.125</v>
      </c>
      <c r="AA44" s="64" t="n">
        <f aca="false">AA21+AA33+AA40</f>
        <v>3348.125</v>
      </c>
      <c r="AB44" s="64" t="n">
        <f aca="false">AB21+AB33+AB40</f>
        <v>20088.75</v>
      </c>
      <c r="AC44" s="64" t="n">
        <f aca="false">AB44*12/6</f>
        <v>40177.5</v>
      </c>
      <c r="AD44" s="65" t="n">
        <f aca="false">IF(Q44=0,0,AC44/Q44-1)</f>
        <v>0.1</v>
      </c>
    </row>
    <row r="45" customFormat="false" ht="15" hidden="false" customHeight="false" outlineLevel="0" collapsed="false">
      <c r="B45" s="63" t="s">
        <v>368</v>
      </c>
      <c r="C45" s="64" t="n">
        <f aca="false">C13-C44</f>
        <v>1028.3</v>
      </c>
      <c r="D45" s="65" t="n">
        <f aca="false">IF($C$11=0,0,C45/$C$11)</f>
        <v>0.0270740633474631</v>
      </c>
      <c r="E45" s="64" t="n">
        <f aca="false">E13-E44</f>
        <v>174.650000000001</v>
      </c>
      <c r="F45" s="64" t="n">
        <f aca="false">F13-F44</f>
        <v>-957.19</v>
      </c>
      <c r="G45" s="64" t="n">
        <f aca="false">G13-G44</f>
        <v>-335.11</v>
      </c>
      <c r="H45" s="64" t="n">
        <f aca="false">H13-H44</f>
        <v>36.4100000000008</v>
      </c>
      <c r="I45" s="64" t="n">
        <f aca="false">I13-I44</f>
        <v>222.17</v>
      </c>
      <c r="J45" s="64" t="n">
        <f aca="false">J13-J44</f>
        <v>425.210000000001</v>
      </c>
      <c r="K45" s="64" t="n">
        <f aca="false">K13-K44</f>
        <v>662.81</v>
      </c>
      <c r="L45" s="64" t="n">
        <f aca="false">L13-L44</f>
        <v>706.01</v>
      </c>
      <c r="M45" s="64" t="n">
        <f aca="false">M13-M44</f>
        <v>801.05</v>
      </c>
      <c r="N45" s="64" t="n">
        <f aca="false">N13-N44</f>
        <v>1462.01</v>
      </c>
      <c r="O45" s="64" t="n">
        <f aca="false">O13-O44</f>
        <v>1647.77</v>
      </c>
      <c r="P45" s="64" t="n">
        <f aca="false">P13-P44</f>
        <v>1829.21</v>
      </c>
      <c r="Q45" s="64" t="n">
        <f aca="false">Q13-Q44</f>
        <v>6675.00000000001</v>
      </c>
      <c r="R45" s="65" t="n">
        <f aca="false">IF($Q$11=0,0,Q45/$Q$11)</f>
        <v>0.15</v>
      </c>
      <c r="S45" s="64" t="n">
        <f aca="false">Q45-C45</f>
        <v>5646.70000000001</v>
      </c>
      <c r="T45" s="65" t="n">
        <f aca="false">IF(C45=0,0,S45/ABS(C45))</f>
        <v>5.4912963143052</v>
      </c>
      <c r="V45" s="64" t="n">
        <f aca="false">V13-V44</f>
        <v>611.875000000001</v>
      </c>
      <c r="W45" s="64" t="n">
        <f aca="false">W13-W44</f>
        <v>611.875000000001</v>
      </c>
      <c r="X45" s="64" t="n">
        <f aca="false">X13-X44</f>
        <v>611.875000000001</v>
      </c>
      <c r="Y45" s="64" t="n">
        <f aca="false">Y13-Y44</f>
        <v>611.875000000001</v>
      </c>
      <c r="Z45" s="64" t="n">
        <f aca="false">Z13-Z44</f>
        <v>611.875000000001</v>
      </c>
      <c r="AA45" s="64" t="n">
        <f aca="false">AA13-AA44</f>
        <v>611.875000000001</v>
      </c>
      <c r="AB45" s="64" t="n">
        <f aca="false">AB13-AB44</f>
        <v>3671.25</v>
      </c>
      <c r="AC45" s="64" t="n">
        <f aca="false">AB45*12/6</f>
        <v>7342.50000000001</v>
      </c>
      <c r="AD45" s="65" t="n">
        <f aca="false">IF(Q45=0,0,AC45/Q45-1)</f>
        <v>0.0999999999999999</v>
      </c>
    </row>
    <row r="46" customFormat="false" ht="15" hidden="false" customHeight="false" outlineLevel="0" collapsed="false">
      <c r="B46" s="1" t="s">
        <v>369</v>
      </c>
      <c r="C46" s="66" t="n">
        <f aca="false">IF(C11=0,0,C45/C11)</f>
        <v>0.0270740633474631</v>
      </c>
      <c r="E46" s="66" t="n">
        <f aca="false">IF(E11=0,0,E45/E11)</f>
        <v>0.0526807933036726</v>
      </c>
      <c r="F46" s="66" t="n">
        <f aca="false">IF(F11=0,0,F45/F11)</f>
        <v>-0.445339288622141</v>
      </c>
      <c r="G46" s="66" t="n">
        <f aca="false">IF(G11=0,0,G45/G11)</f>
        <v>-0.120104653871656</v>
      </c>
      <c r="H46" s="66" t="n">
        <f aca="false">IF(H11=0,0,H45/H11)</f>
        <v>0.0114754873378826</v>
      </c>
      <c r="I46" s="66" t="n">
        <f aca="false">IF(I11=0,0,I45/I11)</f>
        <v>0.0660394744664408</v>
      </c>
      <c r="J46" s="66" t="n">
        <f aca="false">IF(J11=0,0,J45/J11)</f>
        <v>0.118994780807925</v>
      </c>
      <c r="K46" s="66" t="n">
        <f aca="false">IF(K11=0,0,K45/K11)</f>
        <v>0.173596815169849</v>
      </c>
      <c r="L46" s="66" t="n">
        <f aca="false">IF(L11=0,0,L45/L11)</f>
        <v>0.182781028322891</v>
      </c>
      <c r="M46" s="66" t="n">
        <f aca="false">IF(M11=0,0,M45/M11)</f>
        <v>0.202259815679838</v>
      </c>
      <c r="N46" s="66" t="n">
        <f aca="false">IF(N11=0,0,N45/N11)</f>
        <v>0.314996714318033</v>
      </c>
      <c r="O46" s="66" t="n">
        <f aca="false">IF(O11=0,0,O45/O11)</f>
        <v>0.340962608893579</v>
      </c>
      <c r="P46" s="66" t="n">
        <f aca="false">IF(P11=0,0,P45/P11)</f>
        <v>0.364413499083592</v>
      </c>
      <c r="Q46" s="66" t="n">
        <f aca="false">IF(Q11=0,0,Q45/Q11)</f>
        <v>0.15</v>
      </c>
      <c r="V46" s="66" t="n">
        <f aca="false">IF(V11=0,0,V45/V11)</f>
        <v>0.15</v>
      </c>
      <c r="W46" s="66" t="n">
        <f aca="false">IF(W11=0,0,W45/W11)</f>
        <v>0.15</v>
      </c>
      <c r="X46" s="66" t="n">
        <f aca="false">IF(X11=0,0,X45/X11)</f>
        <v>0.15</v>
      </c>
      <c r="Y46" s="66" t="n">
        <f aca="false">IF(Y11=0,0,Y45/Y11)</f>
        <v>0.15</v>
      </c>
      <c r="Z46" s="66" t="n">
        <f aca="false">IF(Z11=0,0,Z45/Z11)</f>
        <v>0.15</v>
      </c>
      <c r="AA46" s="66" t="n">
        <f aca="false">IF(AA11=0,0,AA45/AA11)</f>
        <v>0.15</v>
      </c>
      <c r="AB46" s="66" t="n">
        <f aca="false">IF(AB11=0,0,AB45/AB11)</f>
        <v>0.15</v>
      </c>
      <c r="AC46" s="66" t="n">
        <f aca="false">IF(AC11=0,0,AC45/AC11)</f>
        <v>0.15</v>
      </c>
    </row>
    <row r="47" customFormat="false" ht="15" hidden="false" customHeight="false" outlineLevel="0" collapsed="false">
      <c r="B47" s="49" t="s">
        <v>370</v>
      </c>
      <c r="C47" s="5" t="n">
        <f aca="false">'FY26 Actual'!D31+'FY26 Actual'!D32+'FY26 Actual'!D33+'FY26 Actual'!D34</f>
        <v>3647.3</v>
      </c>
      <c r="D47" s="6" t="n">
        <f aca="false">IF($C$11=0,0,C47/$C$11)</f>
        <v>0.0960295937442405</v>
      </c>
      <c r="E47" s="59" t="n">
        <f aca="false">Assumptions!$B$18/12</f>
        <v>111.25</v>
      </c>
      <c r="F47" s="59" t="n">
        <f aca="false">Assumptions!$B$18/12</f>
        <v>111.25</v>
      </c>
      <c r="G47" s="59" t="n">
        <f aca="false">Assumptions!$B$18/12</f>
        <v>111.25</v>
      </c>
      <c r="H47" s="59" t="n">
        <f aca="false">Assumptions!$B$18/12</f>
        <v>111.25</v>
      </c>
      <c r="I47" s="59" t="n">
        <f aca="false">Assumptions!$B$18/12</f>
        <v>111.25</v>
      </c>
      <c r="J47" s="59" t="n">
        <f aca="false">Assumptions!$B$18/12</f>
        <v>111.25</v>
      </c>
      <c r="K47" s="59" t="n">
        <f aca="false">Assumptions!$B$18/12</f>
        <v>111.25</v>
      </c>
      <c r="L47" s="59" t="n">
        <f aca="false">Assumptions!$B$18/12</f>
        <v>111.25</v>
      </c>
      <c r="M47" s="59" t="n">
        <f aca="false">Assumptions!$B$18/12</f>
        <v>111.25</v>
      </c>
      <c r="N47" s="59" t="n">
        <f aca="false">Assumptions!$B$18/12</f>
        <v>111.25</v>
      </c>
      <c r="O47" s="59" t="n">
        <f aca="false">Assumptions!$B$18/12</f>
        <v>111.25</v>
      </c>
      <c r="P47" s="59" t="n">
        <f aca="false">Assumptions!$B$18/12</f>
        <v>111.25</v>
      </c>
      <c r="Q47" s="59" t="n">
        <f aca="false">SUM(E47:P47)</f>
        <v>1335</v>
      </c>
      <c r="R47" s="6" t="n">
        <f aca="false">IF($Q$11=0,0,Q47/$Q$11)</f>
        <v>0.03</v>
      </c>
      <c r="S47" s="59" t="n">
        <f aca="false">Q47-C47</f>
        <v>-2312.3</v>
      </c>
      <c r="T47" s="6" t="n">
        <f aca="false">IF(C47=0,0,S47/ABS(C47))</f>
        <v>-0.633975817728183</v>
      </c>
      <c r="V47" s="59" t="n">
        <f aca="false">$Q47*(1+Assumptions!$B$42)/12</f>
        <v>122.375</v>
      </c>
      <c r="W47" s="59" t="n">
        <f aca="false">$Q47*(1+Assumptions!$B$42)/12</f>
        <v>122.375</v>
      </c>
      <c r="X47" s="59" t="n">
        <f aca="false">$Q47*(1+Assumptions!$B$42)/12</f>
        <v>122.375</v>
      </c>
      <c r="Y47" s="59" t="n">
        <f aca="false">$Q47*(1+Assumptions!$B$42)/12</f>
        <v>122.375</v>
      </c>
      <c r="Z47" s="59" t="n">
        <f aca="false">$Q47*(1+Assumptions!$B$42)/12</f>
        <v>122.375</v>
      </c>
      <c r="AA47" s="59" t="n">
        <f aca="false">$Q47*(1+Assumptions!$B$42)/12</f>
        <v>122.375</v>
      </c>
      <c r="AB47" s="59" t="n">
        <f aca="false">SUM(V47:AA47)</f>
        <v>734.25</v>
      </c>
      <c r="AC47" s="59" t="n">
        <f aca="false">AB47*12/6</f>
        <v>1468.5</v>
      </c>
      <c r="AD47" s="6" t="n">
        <f aca="false">IF(Q47=0,0,AC47/Q47-1)</f>
        <v>0.1</v>
      </c>
    </row>
    <row r="48" customFormat="false" ht="15" hidden="false" customHeight="false" outlineLevel="0" collapsed="false">
      <c r="B48" s="63" t="s">
        <v>371</v>
      </c>
      <c r="C48" s="64" t="n">
        <f aca="false">C45-C47</f>
        <v>-2619</v>
      </c>
      <c r="D48" s="65" t="n">
        <f aca="false">IF($C$11=0,0,C48/$C$11)</f>
        <v>-0.0689555303967775</v>
      </c>
      <c r="E48" s="64" t="n">
        <f aca="false">E45-E47</f>
        <v>63.4000000000005</v>
      </c>
      <c r="F48" s="64" t="n">
        <f aca="false">F45-F47</f>
        <v>-1068.44</v>
      </c>
      <c r="G48" s="64" t="n">
        <f aca="false">G45-G47</f>
        <v>-446.36</v>
      </c>
      <c r="H48" s="64" t="n">
        <f aca="false">H45-H47</f>
        <v>-74.8399999999992</v>
      </c>
      <c r="I48" s="64" t="n">
        <f aca="false">I45-I47</f>
        <v>110.92</v>
      </c>
      <c r="J48" s="64" t="n">
        <f aca="false">J45-J47</f>
        <v>313.960000000001</v>
      </c>
      <c r="K48" s="64" t="n">
        <f aca="false">K45-K47</f>
        <v>551.56</v>
      </c>
      <c r="L48" s="64" t="n">
        <f aca="false">L45-L47</f>
        <v>594.76</v>
      </c>
      <c r="M48" s="64" t="n">
        <f aca="false">M45-M47</f>
        <v>689.8</v>
      </c>
      <c r="N48" s="64" t="n">
        <f aca="false">N45-N47</f>
        <v>1350.76</v>
      </c>
      <c r="O48" s="64" t="n">
        <f aca="false">O45-O47</f>
        <v>1536.52</v>
      </c>
      <c r="P48" s="64" t="n">
        <f aca="false">P45-P47</f>
        <v>1717.96</v>
      </c>
      <c r="Q48" s="64" t="n">
        <f aca="false">Q45-Q47</f>
        <v>5340.00000000001</v>
      </c>
      <c r="R48" s="65" t="n">
        <f aca="false">IF($Q$11=0,0,Q48/$Q$11)</f>
        <v>0.12</v>
      </c>
      <c r="S48" s="64" t="n">
        <f aca="false">Q48-C48</f>
        <v>7959.00000000001</v>
      </c>
      <c r="T48" s="65" t="n">
        <f aca="false">IF(C48=0,0,S48/ABS(C48))</f>
        <v>3.0389461626575</v>
      </c>
      <c r="V48" s="64" t="n">
        <f aca="false">V45-V47</f>
        <v>489.5</v>
      </c>
      <c r="W48" s="64" t="n">
        <f aca="false">W45-W47</f>
        <v>489.5</v>
      </c>
      <c r="X48" s="64" t="n">
        <f aca="false">X45-X47</f>
        <v>489.5</v>
      </c>
      <c r="Y48" s="64" t="n">
        <f aca="false">Y45-Y47</f>
        <v>489.5</v>
      </c>
      <c r="Z48" s="64" t="n">
        <f aca="false">Z45-Z47</f>
        <v>489.5</v>
      </c>
      <c r="AA48" s="64" t="n">
        <f aca="false">AA45-AA47</f>
        <v>489.5</v>
      </c>
      <c r="AB48" s="64" t="n">
        <f aca="false">AB45-AB47</f>
        <v>2937</v>
      </c>
      <c r="AC48" s="64" t="n">
        <f aca="false">AB48*12/6</f>
        <v>5874.00000000001</v>
      </c>
      <c r="AD48" s="65" t="n">
        <f aca="false">IF(Q48=0,0,AC48/Q48-1)</f>
        <v>0.0999999999999999</v>
      </c>
    </row>
    <row r="49" customFormat="false" ht="15" hidden="false" customHeight="false" outlineLevel="0" collapsed="false">
      <c r="B49" s="1" t="s">
        <v>372</v>
      </c>
      <c r="C49" s="66" t="n">
        <f aca="false">IF(C11=0,0,C48/C11)</f>
        <v>-0.0689555303967775</v>
      </c>
      <c r="E49" s="66" t="n">
        <f aca="false">IF(E11=0,0,E48/E11)</f>
        <v>0.0191237463238068</v>
      </c>
      <c r="F49" s="66" t="n">
        <f aca="false">IF(F11=0,0,F48/F11)</f>
        <v>-0.497099122990671</v>
      </c>
      <c r="G49" s="66" t="n">
        <f aca="false">IF(G11=0,0,G48/G11)</f>
        <v>-0.159977062165116</v>
      </c>
      <c r="H49" s="66" t="n">
        <f aca="false">IF(H11=0,0,H48/H11)</f>
        <v>-0.0235876262666055</v>
      </c>
      <c r="I49" s="66" t="n">
        <f aca="false">IF(I11=0,0,I48/I11)</f>
        <v>0.0329706913976577</v>
      </c>
      <c r="J49" s="66" t="n">
        <f aca="false">IF(J11=0,0,J48/J11)</f>
        <v>0.087861530496593</v>
      </c>
      <c r="K49" s="66" t="n">
        <f aca="false">IF(K11=0,0,K48/K11)</f>
        <v>0.14445928603232</v>
      </c>
      <c r="L49" s="66" t="n">
        <f aca="false">IF(L11=0,0,L48/L11)</f>
        <v>0.153979185004919</v>
      </c>
      <c r="M49" s="66" t="n">
        <f aca="false">IF(M11=0,0,M48/M11)</f>
        <v>0.174169928039389</v>
      </c>
      <c r="N49" s="66" t="n">
        <f aca="false">IF(N11=0,0,N48/N11)</f>
        <v>0.2910273950467</v>
      </c>
      <c r="O49" s="66" t="n">
        <f aca="false">IF(O11=0,0,O48/O11)</f>
        <v>0.317942351066692</v>
      </c>
      <c r="P49" s="66" t="n">
        <f aca="false">IF(P11=0,0,P48/P11)</f>
        <v>0.342250378516217</v>
      </c>
      <c r="Q49" s="66" t="n">
        <f aca="false">IF(Q11=0,0,Q48/Q11)</f>
        <v>0.12</v>
      </c>
      <c r="V49" s="66" t="n">
        <f aca="false">IF(V11=0,0,V48/V11)</f>
        <v>0.12</v>
      </c>
      <c r="W49" s="66" t="n">
        <f aca="false">IF(W11=0,0,W48/W11)</f>
        <v>0.12</v>
      </c>
      <c r="X49" s="66" t="n">
        <f aca="false">IF(X11=0,0,X48/X11)</f>
        <v>0.12</v>
      </c>
      <c r="Y49" s="66" t="n">
        <f aca="false">IF(Y11=0,0,Y48/Y11)</f>
        <v>0.12</v>
      </c>
      <c r="Z49" s="66" t="n">
        <f aca="false">IF(Z11=0,0,Z48/Z11)</f>
        <v>0.12</v>
      </c>
      <c r="AA49" s="66" t="n">
        <f aca="false">IF(AA11=0,0,AA48/AA11)</f>
        <v>0.12</v>
      </c>
      <c r="AB49" s="66" t="n">
        <f aca="false">IF(AB11=0,0,AB48/AB11)</f>
        <v>0.12</v>
      </c>
      <c r="AC49" s="66" t="n">
        <f aca="false">IF(AC11=0,0,AC48/AC11)</f>
        <v>0.12</v>
      </c>
    </row>
    <row r="50" customFormat="false" ht="15" hidden="false" customHeight="false" outlineLevel="0" collapsed="false">
      <c r="B50" s="1" t="s">
        <v>373</v>
      </c>
      <c r="Q50" s="67" t="n">
        <f aca="false">ROUND(Q48-Assumptions!$B$16,2)</f>
        <v>0</v>
      </c>
    </row>
    <row r="52" customFormat="false" ht="15" hidden="false" customHeight="false" outlineLevel="0" collapsed="false">
      <c r="B52" s="11" t="s">
        <v>374</v>
      </c>
      <c r="C52" s="12"/>
      <c r="D52" s="12"/>
      <c r="E52" s="12"/>
      <c r="F52" s="12"/>
      <c r="G52" s="12"/>
      <c r="H52" s="12"/>
      <c r="I52" s="12"/>
      <c r="J52" s="12"/>
      <c r="K52" s="12"/>
      <c r="L52" s="12"/>
      <c r="M52" s="12"/>
      <c r="N52" s="12"/>
      <c r="O52" s="12"/>
      <c r="P52" s="12"/>
      <c r="Q52" s="12"/>
      <c r="R52" s="12"/>
      <c r="S52" s="12"/>
      <c r="T52" s="12"/>
      <c r="V52" s="12"/>
      <c r="W52" s="12"/>
      <c r="X52" s="12"/>
      <c r="Y52" s="12"/>
      <c r="Z52" s="12"/>
      <c r="AA52" s="12"/>
      <c r="AB52" s="12"/>
      <c r="AC52" s="12"/>
      <c r="AD52" s="12"/>
    </row>
    <row r="53" customFormat="false" ht="15" hidden="false" customHeight="false" outlineLevel="0" collapsed="false">
      <c r="B53" s="49" t="s">
        <v>253</v>
      </c>
      <c r="C53" s="5" t="n">
        <f aca="false">'FY26 Actual'!D8</f>
        <v>274.8</v>
      </c>
      <c r="D53" s="6" t="n">
        <f aca="false">IF($C$11=0,0,C53/$C$11)</f>
        <v>0.00723519654564124</v>
      </c>
      <c r="E53" s="59" t="n">
        <f aca="false">Assumptions!$B$27/12</f>
        <v>22.9</v>
      </c>
      <c r="F53" s="59" t="n">
        <f aca="false">Assumptions!$B$27/12</f>
        <v>22.9</v>
      </c>
      <c r="G53" s="59" t="n">
        <f aca="false">Assumptions!$B$27/12</f>
        <v>22.9</v>
      </c>
      <c r="H53" s="59" t="n">
        <f aca="false">Assumptions!$B$27/12</f>
        <v>22.9</v>
      </c>
      <c r="I53" s="59" t="n">
        <f aca="false">Assumptions!$B$27/12</f>
        <v>22.9</v>
      </c>
      <c r="J53" s="59" t="n">
        <f aca="false">Assumptions!$B$27/12</f>
        <v>22.9</v>
      </c>
      <c r="K53" s="59" t="n">
        <f aca="false">Assumptions!$B$27/12</f>
        <v>22.9</v>
      </c>
      <c r="L53" s="59" t="n">
        <f aca="false">Assumptions!$B$27/12</f>
        <v>22.9</v>
      </c>
      <c r="M53" s="59" t="n">
        <f aca="false">Assumptions!$B$27/12</f>
        <v>22.9</v>
      </c>
      <c r="N53" s="59" t="n">
        <f aca="false">Assumptions!$B$27/12</f>
        <v>22.9</v>
      </c>
      <c r="O53" s="59" t="n">
        <f aca="false">Assumptions!$B$27/12</f>
        <v>22.9</v>
      </c>
      <c r="P53" s="59" t="n">
        <f aca="false">Assumptions!$B$27/12</f>
        <v>22.9</v>
      </c>
      <c r="Q53" s="59" t="n">
        <f aca="false">SUM(E53:P53)</f>
        <v>274.8</v>
      </c>
      <c r="R53" s="6" t="n">
        <f aca="false">IF($Q$11=0,0,Q53/$Q$11)</f>
        <v>0.00617528089887641</v>
      </c>
      <c r="S53" s="59" t="n">
        <f aca="false">Q53-C53</f>
        <v>0</v>
      </c>
      <c r="T53" s="6" t="n">
        <f aca="false">IF(C53=0,0,S53/ABS(C53))</f>
        <v>0</v>
      </c>
      <c r="V53" s="59" t="n">
        <f aca="false">$Q53*(1+Assumptions!$B$42)/12</f>
        <v>25.19</v>
      </c>
      <c r="W53" s="59" t="n">
        <f aca="false">$Q53*(1+Assumptions!$B$42)/12</f>
        <v>25.19</v>
      </c>
      <c r="X53" s="59" t="n">
        <f aca="false">$Q53*(1+Assumptions!$B$42)/12</f>
        <v>25.19</v>
      </c>
      <c r="Y53" s="59" t="n">
        <f aca="false">$Q53*(1+Assumptions!$B$42)/12</f>
        <v>25.19</v>
      </c>
      <c r="Z53" s="59" t="n">
        <f aca="false">$Q53*(1+Assumptions!$B$42)/12</f>
        <v>25.19</v>
      </c>
      <c r="AA53" s="59" t="n">
        <f aca="false">$Q53*(1+Assumptions!$B$42)/12</f>
        <v>25.19</v>
      </c>
      <c r="AB53" s="59" t="n">
        <f aca="false">SUM(V53:AA53)</f>
        <v>151.14</v>
      </c>
      <c r="AC53" s="59" t="n">
        <f aca="false">AB53*12/6</f>
        <v>302.28</v>
      </c>
      <c r="AD53" s="6" t="n">
        <f aca="false">IF(Q53=0,0,AC53/Q53-1)</f>
        <v>0.1</v>
      </c>
    </row>
    <row r="54" customFormat="false" ht="15" hidden="false" customHeight="false" outlineLevel="0" collapsed="false">
      <c r="B54" s="49" t="s">
        <v>375</v>
      </c>
      <c r="C54" s="5" t="n">
        <f aca="false">'FY26 Actual'!D14</f>
        <v>1447</v>
      </c>
      <c r="D54" s="6" t="n">
        <f aca="false">IF($C$11=0,0,C54/$C$11)</f>
        <v>0.0380979963666044</v>
      </c>
      <c r="E54" s="59" t="n">
        <f aca="false">Assumptions!$B$28/12</f>
        <v>120.583333333333</v>
      </c>
      <c r="F54" s="59" t="n">
        <f aca="false">Assumptions!$B$28/12</f>
        <v>120.583333333333</v>
      </c>
      <c r="G54" s="59" t="n">
        <f aca="false">Assumptions!$B$28/12</f>
        <v>120.583333333333</v>
      </c>
      <c r="H54" s="59" t="n">
        <f aca="false">Assumptions!$B$28/12</f>
        <v>120.583333333333</v>
      </c>
      <c r="I54" s="59" t="n">
        <f aca="false">Assumptions!$B$28/12</f>
        <v>120.583333333333</v>
      </c>
      <c r="J54" s="59" t="n">
        <f aca="false">Assumptions!$B$28/12</f>
        <v>120.583333333333</v>
      </c>
      <c r="K54" s="59" t="n">
        <f aca="false">Assumptions!$B$28/12</f>
        <v>120.583333333333</v>
      </c>
      <c r="L54" s="59" t="n">
        <f aca="false">Assumptions!$B$28/12</f>
        <v>120.583333333333</v>
      </c>
      <c r="M54" s="59" t="n">
        <f aca="false">Assumptions!$B$28/12</f>
        <v>120.583333333333</v>
      </c>
      <c r="N54" s="59" t="n">
        <f aca="false">Assumptions!$B$28/12</f>
        <v>120.583333333333</v>
      </c>
      <c r="O54" s="59" t="n">
        <f aca="false">Assumptions!$B$28/12</f>
        <v>120.583333333333</v>
      </c>
      <c r="P54" s="59" t="n">
        <f aca="false">Assumptions!$B$28/12</f>
        <v>120.583333333333</v>
      </c>
      <c r="Q54" s="59" t="n">
        <f aca="false">SUM(E54:P54)</f>
        <v>1447</v>
      </c>
      <c r="R54" s="6" t="n">
        <f aca="false">IF($Q$11=0,0,Q54/$Q$11)</f>
        <v>0.0325168539325843</v>
      </c>
      <c r="S54" s="59" t="n">
        <f aca="false">Q54-C54</f>
        <v>0</v>
      </c>
      <c r="T54" s="6" t="n">
        <f aca="false">IF(C54=0,0,S54/ABS(C54))</f>
        <v>0</v>
      </c>
      <c r="V54" s="59" t="n">
        <f aca="false">$Q54*(1+Assumptions!$B$42)/12</f>
        <v>132.641666666667</v>
      </c>
      <c r="W54" s="59" t="n">
        <f aca="false">$Q54*(1+Assumptions!$B$42)/12</f>
        <v>132.641666666667</v>
      </c>
      <c r="X54" s="59" t="n">
        <f aca="false">$Q54*(1+Assumptions!$B$42)/12</f>
        <v>132.641666666667</v>
      </c>
      <c r="Y54" s="59" t="n">
        <f aca="false">$Q54*(1+Assumptions!$B$42)/12</f>
        <v>132.641666666667</v>
      </c>
      <c r="Z54" s="59" t="n">
        <f aca="false">$Q54*(1+Assumptions!$B$42)/12</f>
        <v>132.641666666667</v>
      </c>
      <c r="AA54" s="59" t="n">
        <f aca="false">$Q54*(1+Assumptions!$B$42)/12</f>
        <v>132.641666666667</v>
      </c>
      <c r="AB54" s="59" t="n">
        <f aca="false">SUM(V54:AA54)</f>
        <v>795.85</v>
      </c>
      <c r="AC54" s="59" t="n">
        <f aca="false">AB54*12/6</f>
        <v>1591.7</v>
      </c>
      <c r="AD54" s="6" t="n">
        <f aca="false">IF(Q54=0,0,AC54/Q54-1)</f>
        <v>0.1</v>
      </c>
    </row>
    <row r="55" customFormat="false" ht="15" hidden="false" customHeight="false" outlineLevel="0" collapsed="false">
      <c r="B55" s="49" t="s">
        <v>376</v>
      </c>
      <c r="C55" s="5" t="n">
        <f aca="false">'FY26 Actual'!D13</f>
        <v>272.2</v>
      </c>
      <c r="D55" s="6" t="n">
        <f aca="false">IF($C$11=0,0,C55/$C$11)</f>
        <v>0.00716674126536953</v>
      </c>
      <c r="E55" s="59" t="n">
        <f aca="false">Assumptions!$B$29/12</f>
        <v>22.6833333333333</v>
      </c>
      <c r="F55" s="59" t="n">
        <f aca="false">Assumptions!$B$29/12</f>
        <v>22.6833333333333</v>
      </c>
      <c r="G55" s="59" t="n">
        <f aca="false">Assumptions!$B$29/12</f>
        <v>22.6833333333333</v>
      </c>
      <c r="H55" s="59" t="n">
        <f aca="false">Assumptions!$B$29/12</f>
        <v>22.6833333333333</v>
      </c>
      <c r="I55" s="59" t="n">
        <f aca="false">Assumptions!$B$29/12</f>
        <v>22.6833333333333</v>
      </c>
      <c r="J55" s="59" t="n">
        <f aca="false">Assumptions!$B$29/12</f>
        <v>22.6833333333333</v>
      </c>
      <c r="K55" s="59" t="n">
        <f aca="false">Assumptions!$B$29/12</f>
        <v>22.6833333333333</v>
      </c>
      <c r="L55" s="59" t="n">
        <f aca="false">Assumptions!$B$29/12</f>
        <v>22.6833333333333</v>
      </c>
      <c r="M55" s="59" t="n">
        <f aca="false">Assumptions!$B$29/12</f>
        <v>22.6833333333333</v>
      </c>
      <c r="N55" s="59" t="n">
        <f aca="false">Assumptions!$B$29/12</f>
        <v>22.6833333333333</v>
      </c>
      <c r="O55" s="59" t="n">
        <f aca="false">Assumptions!$B$29/12</f>
        <v>22.6833333333333</v>
      </c>
      <c r="P55" s="59" t="n">
        <f aca="false">Assumptions!$B$29/12</f>
        <v>22.6833333333333</v>
      </c>
      <c r="Q55" s="59" t="n">
        <f aca="false">SUM(E55:P55)</f>
        <v>272.2</v>
      </c>
      <c r="R55" s="6" t="n">
        <f aca="false">IF($Q$11=0,0,Q55/$Q$11)</f>
        <v>0.00611685393258427</v>
      </c>
      <c r="S55" s="59" t="n">
        <f aca="false">Q55-C55</f>
        <v>0</v>
      </c>
      <c r="T55" s="6" t="n">
        <f aca="false">IF(C55=0,0,S55/ABS(C55))</f>
        <v>0</v>
      </c>
      <c r="V55" s="59" t="n">
        <f aca="false">$Q55*(1+Assumptions!$B$42)/12</f>
        <v>24.9516666666667</v>
      </c>
      <c r="W55" s="59" t="n">
        <f aca="false">$Q55*(1+Assumptions!$B$42)/12</f>
        <v>24.9516666666667</v>
      </c>
      <c r="X55" s="59" t="n">
        <f aca="false">$Q55*(1+Assumptions!$B$42)/12</f>
        <v>24.9516666666667</v>
      </c>
      <c r="Y55" s="59" t="n">
        <f aca="false">$Q55*(1+Assumptions!$B$42)/12</f>
        <v>24.9516666666667</v>
      </c>
      <c r="Z55" s="59" t="n">
        <f aca="false">$Q55*(1+Assumptions!$B$42)/12</f>
        <v>24.9516666666667</v>
      </c>
      <c r="AA55" s="59" t="n">
        <f aca="false">$Q55*(1+Assumptions!$B$42)/12</f>
        <v>24.9516666666667</v>
      </c>
      <c r="AB55" s="59" t="n">
        <f aca="false">SUM(V55:AA55)</f>
        <v>149.71</v>
      </c>
      <c r="AC55" s="59" t="n">
        <f aca="false">AB55*12/6</f>
        <v>299.42</v>
      </c>
      <c r="AD55" s="6" t="n">
        <f aca="false">IF(Q55=0,0,AC55/Q55-1)</f>
        <v>0.1</v>
      </c>
    </row>
    <row r="56" customFormat="false" ht="15" hidden="false" customHeight="false" outlineLevel="0" collapsed="false">
      <c r="B56" s="49" t="s">
        <v>289</v>
      </c>
      <c r="C56" s="5" t="n">
        <f aca="false">'FY26 Actual'!D39</f>
        <v>264.2</v>
      </c>
      <c r="D56" s="6" t="n">
        <f aca="false">IF($C$11=0,0,C56/$C$11)</f>
        <v>0.00695610963376425</v>
      </c>
      <c r="E56" s="59" t="n">
        <f aca="false">0</f>
        <v>0</v>
      </c>
      <c r="F56" s="59" t="n">
        <f aca="false">0</f>
        <v>0</v>
      </c>
      <c r="G56" s="59" t="n">
        <f aca="false">0</f>
        <v>0</v>
      </c>
      <c r="H56" s="59" t="n">
        <f aca="false">0</f>
        <v>0</v>
      </c>
      <c r="I56" s="59" t="n">
        <f aca="false">0</f>
        <v>0</v>
      </c>
      <c r="J56" s="59" t="n">
        <f aca="false">0</f>
        <v>0</v>
      </c>
      <c r="K56" s="59" t="n">
        <f aca="false">0</f>
        <v>0</v>
      </c>
      <c r="L56" s="59" t="n">
        <f aca="false">0</f>
        <v>0</v>
      </c>
      <c r="M56" s="59" t="n">
        <f aca="false">0</f>
        <v>0</v>
      </c>
      <c r="N56" s="59" t="n">
        <f aca="false">0</f>
        <v>0</v>
      </c>
      <c r="O56" s="59" t="n">
        <f aca="false">0</f>
        <v>0</v>
      </c>
      <c r="P56" s="59" t="n">
        <f aca="false">0</f>
        <v>0</v>
      </c>
      <c r="Q56" s="59" t="n">
        <f aca="false">SUM(E56:P56)</f>
        <v>0</v>
      </c>
      <c r="R56" s="6" t="n">
        <f aca="false">IF($Q$11=0,0,Q56/$Q$11)</f>
        <v>0</v>
      </c>
      <c r="S56" s="59" t="n">
        <f aca="false">Q56-C56</f>
        <v>-264.2</v>
      </c>
      <c r="T56" s="6" t="n">
        <f aca="false">IF(C56=0,0,S56/ABS(C56))</f>
        <v>-1</v>
      </c>
      <c r="V56" s="59" t="n">
        <f aca="false">0</f>
        <v>0</v>
      </c>
      <c r="W56" s="59" t="n">
        <f aca="false">0</f>
        <v>0</v>
      </c>
      <c r="X56" s="59" t="n">
        <f aca="false">0</f>
        <v>0</v>
      </c>
      <c r="Y56" s="59" t="n">
        <f aca="false">0</f>
        <v>0</v>
      </c>
      <c r="Z56" s="59" t="n">
        <f aca="false">0</f>
        <v>0</v>
      </c>
      <c r="AA56" s="59" t="n">
        <f aca="false">0</f>
        <v>0</v>
      </c>
      <c r="AB56" s="59" t="n">
        <f aca="false">SUM(V56:AA56)</f>
        <v>0</v>
      </c>
      <c r="AC56" s="59" t="n">
        <f aca="false">AB56*12/6</f>
        <v>0</v>
      </c>
      <c r="AD56" s="6" t="n">
        <f aca="false">IF(Q56=0,0,AC56/Q56-1)</f>
        <v>0</v>
      </c>
    </row>
    <row r="57" customFormat="false" ht="15" hidden="false" customHeight="false" outlineLevel="0" collapsed="false">
      <c r="B57" s="63" t="s">
        <v>16</v>
      </c>
      <c r="C57" s="64" t="n">
        <f aca="false">C48+C53-C54-C55-C56</f>
        <v>-4327.6</v>
      </c>
      <c r="D57" s="65" t="n">
        <f aca="false">IF($C$11=0,0,C57/$C$11)</f>
        <v>-0.113941181116874</v>
      </c>
      <c r="E57" s="64" t="n">
        <f aca="false">E48+E53-E54-E55-E56</f>
        <v>-56.9666666666661</v>
      </c>
      <c r="F57" s="64" t="n">
        <f aca="false">F48+F53-F54-F55-F56</f>
        <v>-1188.80666666667</v>
      </c>
      <c r="G57" s="64" t="n">
        <f aca="false">G48+G53-G54-G55-G56</f>
        <v>-566.726666666666</v>
      </c>
      <c r="H57" s="64" t="n">
        <f aca="false">H48+H53-H54-H55-H56</f>
        <v>-195.206666666666</v>
      </c>
      <c r="I57" s="64" t="n">
        <f aca="false">I48+I53-I54-I55-I56</f>
        <v>-9.44666666666658</v>
      </c>
      <c r="J57" s="64" t="n">
        <f aca="false">J48+J53-J54-J55-J56</f>
        <v>193.593333333334</v>
      </c>
      <c r="K57" s="64" t="n">
        <f aca="false">K48+K53-K54-K55-K56</f>
        <v>431.193333333334</v>
      </c>
      <c r="L57" s="64" t="n">
        <f aca="false">L48+L53-L54-L55-L56</f>
        <v>474.393333333334</v>
      </c>
      <c r="M57" s="64" t="n">
        <f aca="false">M48+M53-M54-M55-M56</f>
        <v>569.433333333334</v>
      </c>
      <c r="N57" s="64" t="n">
        <f aca="false">N48+N53-N54-N55-N56</f>
        <v>1230.39333333333</v>
      </c>
      <c r="O57" s="64" t="n">
        <f aca="false">O48+O53-O54-O55-O56</f>
        <v>1416.15333333333</v>
      </c>
      <c r="P57" s="64" t="n">
        <f aca="false">P48+P53-P54-P55-P56</f>
        <v>1597.59333333333</v>
      </c>
      <c r="Q57" s="64" t="n">
        <f aca="false">Q48+Q53-Q54-Q55-Q56</f>
        <v>3895.60000000001</v>
      </c>
      <c r="R57" s="65" t="n">
        <f aca="false">IF($Q$11=0,0,Q57/$Q$11)</f>
        <v>0.087541573033708</v>
      </c>
      <c r="S57" s="64" t="n">
        <f aca="false">Q57-C57</f>
        <v>8223.20000000001</v>
      </c>
      <c r="T57" s="65" t="n">
        <f aca="false">IF(C57=0,0,S57/ABS(C57))</f>
        <v>1.90017561697015</v>
      </c>
      <c r="V57" s="64" t="n">
        <f aca="false">V48+V53-V54-V55-V56</f>
        <v>357.096666666667</v>
      </c>
      <c r="W57" s="64" t="n">
        <f aca="false">W48+W53-W54-W55-W56</f>
        <v>357.096666666667</v>
      </c>
      <c r="X57" s="64" t="n">
        <f aca="false">X48+X53-X54-X55-X56</f>
        <v>357.096666666667</v>
      </c>
      <c r="Y57" s="64" t="n">
        <f aca="false">Y48+Y53-Y54-Y55-Y56</f>
        <v>357.096666666667</v>
      </c>
      <c r="Z57" s="64" t="n">
        <f aca="false">Z48+Z53-Z54-Z55-Z56</f>
        <v>357.096666666667</v>
      </c>
      <c r="AA57" s="64" t="n">
        <f aca="false">AA48+AA53-AA54-AA55-AA56</f>
        <v>357.096666666667</v>
      </c>
      <c r="AB57" s="64" t="n">
        <f aca="false">AB48+AB53-AB54-AB55-AB56</f>
        <v>2142.58</v>
      </c>
      <c r="AC57" s="64" t="n">
        <f aca="false">AB57*12/6</f>
        <v>4285.16000000001</v>
      </c>
      <c r="AD57" s="65" t="n">
        <f aca="false">IF(Q57=0,0,AC57/Q57-1)</f>
        <v>0.0999999999999996</v>
      </c>
    </row>
    <row r="58" customFormat="false" ht="15" hidden="false" customHeight="false" outlineLevel="0" collapsed="false">
      <c r="B58" s="49" t="s">
        <v>291</v>
      </c>
      <c r="C58" s="5" t="n">
        <f aca="false">'FY26 Actual'!D40</f>
        <v>-976</v>
      </c>
      <c r="D58" s="6" t="n">
        <f aca="false">IF($C$11=0,0,C58/$C$11)</f>
        <v>-0.0256970590558437</v>
      </c>
      <c r="E58" s="59" t="n">
        <f aca="false">MAX(0,$Q$57)*Assumptions!$B$30/12</f>
        <v>81.7102100000002</v>
      </c>
      <c r="F58" s="59" t="n">
        <f aca="false">MAX(0,$Q$57)*Assumptions!$B$30/12</f>
        <v>81.7102100000002</v>
      </c>
      <c r="G58" s="59" t="n">
        <f aca="false">MAX(0,$Q$57)*Assumptions!$B$30/12</f>
        <v>81.7102100000002</v>
      </c>
      <c r="H58" s="59" t="n">
        <f aca="false">MAX(0,$Q$57)*Assumptions!$B$30/12</f>
        <v>81.7102100000002</v>
      </c>
      <c r="I58" s="59" t="n">
        <f aca="false">MAX(0,$Q$57)*Assumptions!$B$30/12</f>
        <v>81.7102100000002</v>
      </c>
      <c r="J58" s="59" t="n">
        <f aca="false">MAX(0,$Q$57)*Assumptions!$B$30/12</f>
        <v>81.7102100000002</v>
      </c>
      <c r="K58" s="59" t="n">
        <f aca="false">MAX(0,$Q$57)*Assumptions!$B$30/12</f>
        <v>81.7102100000002</v>
      </c>
      <c r="L58" s="59" t="n">
        <f aca="false">MAX(0,$Q$57)*Assumptions!$B$30/12</f>
        <v>81.7102100000002</v>
      </c>
      <c r="M58" s="59" t="n">
        <f aca="false">MAX(0,$Q$57)*Assumptions!$B$30/12</f>
        <v>81.7102100000002</v>
      </c>
      <c r="N58" s="59" t="n">
        <f aca="false">MAX(0,$Q$57)*Assumptions!$B$30/12</f>
        <v>81.7102100000002</v>
      </c>
      <c r="O58" s="59" t="n">
        <f aca="false">MAX(0,$Q$57)*Assumptions!$B$30/12</f>
        <v>81.7102100000002</v>
      </c>
      <c r="P58" s="59" t="n">
        <f aca="false">MAX(0,$Q$57)*Assumptions!$B$30/12</f>
        <v>81.7102100000002</v>
      </c>
      <c r="Q58" s="59" t="n">
        <f aca="false">SUM(E58:P58)</f>
        <v>980.522520000002</v>
      </c>
      <c r="R58" s="6" t="n">
        <f aca="false">IF($Q$11=0,0,Q58/$Q$11)</f>
        <v>0.0220342139325843</v>
      </c>
      <c r="S58" s="59" t="n">
        <f aca="false">Q58-C58</f>
        <v>1956.52252</v>
      </c>
      <c r="T58" s="6" t="n">
        <f aca="false">IF(C58=0,0,S58/ABS(C58))</f>
        <v>2.0046337295082</v>
      </c>
      <c r="V58" s="59" t="n">
        <f aca="false">MAX(0,V57)*Assumptions!$B$30</f>
        <v>89.8812310000001</v>
      </c>
      <c r="W58" s="59" t="n">
        <f aca="false">MAX(0,W57)*Assumptions!$B$30</f>
        <v>89.8812310000001</v>
      </c>
      <c r="X58" s="59" t="n">
        <f aca="false">MAX(0,X57)*Assumptions!$B$30</f>
        <v>89.8812310000001</v>
      </c>
      <c r="Y58" s="59" t="n">
        <f aca="false">MAX(0,Y57)*Assumptions!$B$30</f>
        <v>89.8812310000001</v>
      </c>
      <c r="Z58" s="59" t="n">
        <f aca="false">MAX(0,Z57)*Assumptions!$B$30</f>
        <v>89.8812310000001</v>
      </c>
      <c r="AA58" s="59" t="n">
        <f aca="false">MAX(0,AA57)*Assumptions!$B$30</f>
        <v>89.8812310000001</v>
      </c>
      <c r="AB58" s="59" t="n">
        <f aca="false">SUM(V58:AA58)</f>
        <v>539.287386000001</v>
      </c>
      <c r="AC58" s="59" t="n">
        <f aca="false">AB58*12/6</f>
        <v>1078.574772</v>
      </c>
      <c r="AD58" s="6" t="n">
        <f aca="false">IF(Q58=0,0,AC58/Q58-1)</f>
        <v>0.0999999999999996</v>
      </c>
    </row>
    <row r="59" customFormat="false" ht="15" hidden="false" customHeight="false" outlineLevel="0" collapsed="false">
      <c r="B59" s="63" t="s">
        <v>17</v>
      </c>
      <c r="C59" s="64" t="n">
        <f aca="false">C57-C58</f>
        <v>-3351.6</v>
      </c>
      <c r="D59" s="65" t="n">
        <f aca="false">IF($C$11=0,0,C59/$C$11)</f>
        <v>-0.0882441220610306</v>
      </c>
      <c r="E59" s="64" t="n">
        <f aca="false">E57-E58</f>
        <v>-138.676876666666</v>
      </c>
      <c r="F59" s="64" t="n">
        <f aca="false">F57-F58</f>
        <v>-1270.51687666667</v>
      </c>
      <c r="G59" s="64" t="n">
        <f aca="false">G57-G58</f>
        <v>-648.436876666667</v>
      </c>
      <c r="H59" s="64" t="n">
        <f aca="false">H57-H58</f>
        <v>-276.916876666666</v>
      </c>
      <c r="I59" s="64" t="n">
        <f aca="false">I57-I58</f>
        <v>-91.1568766666667</v>
      </c>
      <c r="J59" s="64" t="n">
        <f aca="false">J57-J58</f>
        <v>111.883123333334</v>
      </c>
      <c r="K59" s="64" t="n">
        <f aca="false">K57-K58</f>
        <v>349.483123333334</v>
      </c>
      <c r="L59" s="64" t="n">
        <f aca="false">L57-L58</f>
        <v>392.683123333333</v>
      </c>
      <c r="M59" s="64" t="n">
        <f aca="false">M57-M58</f>
        <v>487.723123333333</v>
      </c>
      <c r="N59" s="64" t="n">
        <f aca="false">N57-N58</f>
        <v>1148.68312333333</v>
      </c>
      <c r="O59" s="64" t="n">
        <f aca="false">O57-O58</f>
        <v>1334.44312333333</v>
      </c>
      <c r="P59" s="64" t="n">
        <f aca="false">P57-P58</f>
        <v>1515.88312333333</v>
      </c>
      <c r="Q59" s="64" t="n">
        <f aca="false">Q57-Q58</f>
        <v>2915.07748000001</v>
      </c>
      <c r="R59" s="65" t="n">
        <f aca="false">IF($Q$11=0,0,Q59/$Q$11)</f>
        <v>0.0655073591011237</v>
      </c>
      <c r="S59" s="64" t="n">
        <f aca="false">Q59-C59</f>
        <v>6266.67748000001</v>
      </c>
      <c r="T59" s="65" t="n">
        <f aca="false">IF(C59=0,0,S59/ABS(C59))</f>
        <v>1.86975697577277</v>
      </c>
      <c r="V59" s="64" t="n">
        <f aca="false">V57-V58</f>
        <v>267.215435666667</v>
      </c>
      <c r="W59" s="64" t="n">
        <f aca="false">W57-W58</f>
        <v>267.215435666667</v>
      </c>
      <c r="X59" s="64" t="n">
        <f aca="false">X57-X58</f>
        <v>267.215435666667</v>
      </c>
      <c r="Y59" s="64" t="n">
        <f aca="false">Y57-Y58</f>
        <v>267.215435666667</v>
      </c>
      <c r="Z59" s="64" t="n">
        <f aca="false">Z57-Z58</f>
        <v>267.215435666667</v>
      </c>
      <c r="AA59" s="64" t="n">
        <f aca="false">AA57-AA58</f>
        <v>267.215435666667</v>
      </c>
      <c r="AB59" s="64" t="n">
        <f aca="false">AB57-AB58</f>
        <v>1603.292614</v>
      </c>
      <c r="AC59" s="64" t="n">
        <f aca="false">AB59*12/6</f>
        <v>3206.58522800001</v>
      </c>
      <c r="AD59" s="65" t="n">
        <f aca="false">IF(Q59=0,0,AC59/Q59-1)</f>
        <v>0.0999999999999996</v>
      </c>
    </row>
    <row r="60" customFormat="false" ht="15" hidden="false" customHeight="false" outlineLevel="0" collapsed="false">
      <c r="B60" s="1" t="s">
        <v>377</v>
      </c>
      <c r="C60" s="66" t="n">
        <f aca="false">IF(C11=0,0,C59/C11)</f>
        <v>-0.0882441220610306</v>
      </c>
      <c r="E60" s="66" t="n">
        <f aca="false">IF(E11=0,0,E59/E11)</f>
        <v>-0.0418299906995449</v>
      </c>
      <c r="F60" s="66" t="n">
        <f aca="false">IF(F11=0,0,F59/F11)</f>
        <v>-0.591116791898326</v>
      </c>
      <c r="G60" s="66" t="n">
        <f aca="false">IF(G11=0,0,G59/G11)</f>
        <v>-0.232402156395415</v>
      </c>
      <c r="H60" s="66" t="n">
        <f aca="false">IF(H11=0,0,H59/H11)</f>
        <v>-0.0872770148814681</v>
      </c>
      <c r="I60" s="66" t="n">
        <f aca="false">IF(I11=0,0,I59/I11)</f>
        <v>-0.027096152626677</v>
      </c>
      <c r="J60" s="66" t="n">
        <f aca="false">IF(J11=0,0,J59/J11)</f>
        <v>0.0313104295222505</v>
      </c>
      <c r="K60" s="66" t="n">
        <f aca="false">IF(K11=0,0,K59/K11)</f>
        <v>0.0915332556332557</v>
      </c>
      <c r="L60" s="66" t="n">
        <f aca="false">IF(L11=0,0,L59/L11)</f>
        <v>0.101662901499853</v>
      </c>
      <c r="M60" s="66" t="n">
        <f aca="false">IF(M11=0,0,M59/M11)</f>
        <v>0.123146856036696</v>
      </c>
      <c r="N60" s="66" t="n">
        <f aca="false">IF(N11=0,0,N59/N11)</f>
        <v>0.247489011458592</v>
      </c>
      <c r="O60" s="66" t="n">
        <f aca="false">IF(O11=0,0,O59/O11)</f>
        <v>0.276127862961354</v>
      </c>
      <c r="P60" s="66" t="n">
        <f aca="false">IF(P11=0,0,P59/P11)</f>
        <v>0.301992812840333</v>
      </c>
      <c r="Q60" s="66" t="n">
        <f aca="false">IF(Q11=0,0,Q59/Q11)</f>
        <v>0.0655073591011237</v>
      </c>
      <c r="V60" s="66" t="n">
        <f aca="false">IF(V11=0,0,V59/V11)</f>
        <v>0.0655073591011237</v>
      </c>
      <c r="W60" s="66" t="n">
        <f aca="false">IF(W11=0,0,W59/W11)</f>
        <v>0.0655073591011237</v>
      </c>
      <c r="X60" s="66" t="n">
        <f aca="false">IF(X11=0,0,X59/X11)</f>
        <v>0.0655073591011237</v>
      </c>
      <c r="Y60" s="66" t="n">
        <f aca="false">IF(Y11=0,0,Y59/Y11)</f>
        <v>0.0655073591011237</v>
      </c>
      <c r="Z60" s="66" t="n">
        <f aca="false">IF(Z11=0,0,Z59/Z11)</f>
        <v>0.0655073591011237</v>
      </c>
      <c r="AA60" s="66" t="n">
        <f aca="false">IF(AA11=0,0,AA59/AA11)</f>
        <v>0.0655073591011237</v>
      </c>
      <c r="AB60" s="66" t="n">
        <f aca="false">IF(AB11=0,0,AB59/AB11)</f>
        <v>0.0655073591011237</v>
      </c>
      <c r="AC60" s="66" t="n">
        <f aca="false">IF(AC11=0,0,AC59/AC11)</f>
        <v>0.0655073591011237</v>
      </c>
    </row>
    <row r="62" customFormat="false" ht="15" hidden="false" customHeight="false" outlineLevel="0" collapsed="false">
      <c r="B62" s="56" t="s">
        <v>378</v>
      </c>
    </row>
    <row r="63" customFormat="false" ht="15" hidden="false" customHeight="false" outlineLevel="0" collapsed="false">
      <c r="B63" s="1" t="s">
        <v>379</v>
      </c>
      <c r="C63" s="59" t="n">
        <f aca="false">ROUND(C57-'FY26 Actual'!D44,2)</f>
        <v>0</v>
      </c>
    </row>
    <row r="64" customFormat="false" ht="15" hidden="false" customHeight="false" outlineLevel="0" collapsed="false">
      <c r="B64" s="1" t="s">
        <v>380</v>
      </c>
      <c r="Q64" s="59" t="n">
        <f aca="false">ROUND(Q13-Assumptions!$B$8,2)</f>
        <v>0</v>
      </c>
    </row>
    <row r="65" customFormat="false" ht="15" hidden="false" customHeight="false" outlineLevel="0" collapsed="false">
      <c r="B65" s="1" t="s">
        <v>381</v>
      </c>
      <c r="AB65" s="59" t="n">
        <f aca="false">ROUND(AB11-Q11*(1+Assumptions!$B$42)/2,2)</f>
        <v>0</v>
      </c>
    </row>
    <row r="67" customFormat="false" ht="15" hidden="false" customHeight="false" outlineLevel="0" collapsed="false">
      <c r="B67" s="56" t="s">
        <v>382</v>
      </c>
    </row>
    <row r="68" customFormat="false" ht="15" hidden="false" customHeight="false" outlineLevel="0" collapsed="false">
      <c r="B68" s="1" t="s">
        <v>383</v>
      </c>
    </row>
    <row r="69" customFormat="false" ht="15" hidden="false" customHeight="false" outlineLevel="0" collapsed="false">
      <c r="B69" s="1" t="s">
        <v>384</v>
      </c>
    </row>
    <row r="70" customFormat="false" ht="15" hidden="false" customHeight="false" outlineLevel="0" collapsed="false">
      <c r="B70" s="1" t="s">
        <v>385</v>
      </c>
    </row>
    <row r="71" customFormat="false" ht="15" hidden="false" customHeight="false" outlineLevel="0" collapsed="false">
      <c r="B71" s="1" t="s">
        <v>386</v>
      </c>
    </row>
    <row r="72" customFormat="false" ht="15" hidden="false" customHeight="false" outlineLevel="0" collapsed="false">
      <c r="B72" s="1" t="s">
        <v>387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2" activeCellId="0" sqref="H12"/>
    </sheetView>
  </sheetViews>
  <sheetFormatPr defaultColWidth="8.714843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12"/>
    <col collapsed="false" customWidth="true" hidden="false" outlineLevel="0" max="12" min="4" style="0" width="14"/>
  </cols>
  <sheetData>
    <row r="1" customFormat="false" ht="15" hidden="false" customHeight="false" outlineLevel="0" collapsed="false">
      <c r="A1" s="1" t="s">
        <v>0</v>
      </c>
    </row>
    <row r="2" customFormat="false" ht="16.5" hidden="false" customHeight="true" outlineLevel="0" collapsed="false">
      <c r="A2" s="2" t="s">
        <v>388</v>
      </c>
    </row>
    <row r="3" customFormat="false" ht="15" hidden="false" customHeight="false" outlineLevel="0" collapsed="false">
      <c r="A3" s="1" t="s">
        <v>2</v>
      </c>
    </row>
    <row r="5" customFormat="false" ht="45" hidden="false" customHeight="true" outlineLevel="0" collapsed="false">
      <c r="A5" s="3" t="s">
        <v>244</v>
      </c>
      <c r="B5" s="3" t="s">
        <v>389</v>
      </c>
      <c r="C5" s="3" t="s">
        <v>390</v>
      </c>
      <c r="D5" s="3" t="s">
        <v>391</v>
      </c>
      <c r="E5" s="3" t="s">
        <v>392</v>
      </c>
      <c r="F5" s="3" t="s">
        <v>393</v>
      </c>
      <c r="G5" s="3" t="s">
        <v>394</v>
      </c>
      <c r="H5" s="3" t="s">
        <v>395</v>
      </c>
      <c r="I5" s="3" t="s">
        <v>396</v>
      </c>
      <c r="J5" s="3" t="s">
        <v>397</v>
      </c>
      <c r="K5" s="3" t="s">
        <v>398</v>
      </c>
      <c r="L5" s="3" t="s">
        <v>399</v>
      </c>
    </row>
    <row r="7" customFormat="false" ht="15" hidden="false" customHeight="false" outlineLevel="0" collapsed="false">
      <c r="A7" s="56" t="s">
        <v>400</v>
      </c>
    </row>
    <row r="8" customFormat="false" ht="15" hidden="false" customHeight="false" outlineLevel="0" collapsed="false">
      <c r="A8" s="4" t="s">
        <v>10</v>
      </c>
      <c r="B8" s="5" t="n">
        <f aca="false">'Global PNL'!C13</f>
        <v>37981</v>
      </c>
      <c r="E8" s="5" t="n">
        <f aca="false">'Global PNL'!Q13</f>
        <v>43200</v>
      </c>
      <c r="I8" s="5" t="n">
        <f aca="false">'Global PNL'!AC13</f>
        <v>47520</v>
      </c>
    </row>
    <row r="9" customFormat="false" ht="15" hidden="false" customHeight="false" outlineLevel="0" collapsed="false">
      <c r="A9" s="4" t="s">
        <v>401</v>
      </c>
      <c r="B9" s="5" t="n">
        <f aca="false">'Global PNL'!C44-'Global PNL'!C16-'Global PNL'!C26-'Global PNL'!C27-'Global PNL'!C37+'Global PNL'!C12</f>
        <v>12261</v>
      </c>
      <c r="E9" s="5" t="n">
        <f aca="false">'Global PNL'!Q44-'Global PNL'!Q16-'Global PNL'!Q26-'Global PNL'!Q27-'Global PNL'!Q37+'Global PNL'!Q12</f>
        <v>13419.0880503996</v>
      </c>
      <c r="I9" s="5" t="n">
        <f aca="false">'Global PNL'!AC44-'Global PNL'!AC16-'Global PNL'!AC26-'Global PNL'!AC27-'Global PNL'!AC37+'Global PNL'!AC12</f>
        <v>14760.9968554395</v>
      </c>
    </row>
    <row r="11" customFormat="false" ht="15" hidden="false" customHeight="false" outlineLevel="0" collapsed="false">
      <c r="A11" s="56" t="s">
        <v>402</v>
      </c>
    </row>
    <row r="12" customFormat="false" ht="15" hidden="false" customHeight="false" outlineLevel="0" collapsed="false">
      <c r="A12" s="4" t="s">
        <v>403</v>
      </c>
      <c r="B12" s="5" t="n">
        <f aca="false">'FY26 Actual'!D48</f>
        <v>15991</v>
      </c>
      <c r="C12" s="68" t="n">
        <f aca="false">IF(B8=0,0,B12/B8*365)</f>
        <v>153.674600458124</v>
      </c>
      <c r="D12" s="69" t="n">
        <f aca="false">Assumptions!$B$35</f>
        <v>140</v>
      </c>
      <c r="E12" s="59" t="n">
        <f aca="false">E8</f>
        <v>43200</v>
      </c>
      <c r="F12" s="59" t="n">
        <f aca="false">E8*D12/365</f>
        <v>16569.8630136986</v>
      </c>
      <c r="G12" s="59" t="n">
        <f aca="false">B12-F12</f>
        <v>-578.863013698629</v>
      </c>
      <c r="H12" s="59" t="n">
        <f aca="false">G12/12</f>
        <v>-48.2385844748857</v>
      </c>
      <c r="I12" s="59" t="n">
        <f aca="false">I8</f>
        <v>47520</v>
      </c>
      <c r="J12" s="59" t="n">
        <f aca="false">I8*D12/365</f>
        <v>18226.8493150685</v>
      </c>
      <c r="K12" s="59" t="n">
        <f aca="false">F12-J12</f>
        <v>-1656.98630136987</v>
      </c>
      <c r="L12" s="59" t="n">
        <f aca="false">K12/6</f>
        <v>-276.164383561644</v>
      </c>
    </row>
    <row r="13" customFormat="false" ht="15" hidden="false" customHeight="false" outlineLevel="0" collapsed="false">
      <c r="A13" s="4" t="s">
        <v>404</v>
      </c>
      <c r="B13" s="5" t="n">
        <f aca="false">'FY26 Actual'!D49</f>
        <v>12924.9</v>
      </c>
      <c r="C13" s="68" t="n">
        <f aca="false">IF(B8=0,0,B13/B8*365)</f>
        <v>124.209170374661</v>
      </c>
      <c r="D13" s="69" t="n">
        <f aca="false">Assumptions!$B$36</f>
        <v>115</v>
      </c>
      <c r="E13" s="59" t="n">
        <f aca="false">E8</f>
        <v>43200</v>
      </c>
      <c r="F13" s="59" t="n">
        <f aca="false">E8*D13/365</f>
        <v>13610.9589041096</v>
      </c>
      <c r="G13" s="59" t="n">
        <f aca="false">B13-F13</f>
        <v>-686.05890410959</v>
      </c>
      <c r="H13" s="59" t="n">
        <f aca="false">G13/12</f>
        <v>-57.1715753424658</v>
      </c>
      <c r="I13" s="59" t="n">
        <f aca="false">I8</f>
        <v>47520</v>
      </c>
      <c r="J13" s="59" t="n">
        <f aca="false">I8*D13/365</f>
        <v>14972.0547945206</v>
      </c>
      <c r="K13" s="59" t="n">
        <f aca="false">F13-J13</f>
        <v>-1361.09589041096</v>
      </c>
      <c r="L13" s="59" t="n">
        <f aca="false">K13/6</f>
        <v>-226.849315068494</v>
      </c>
    </row>
    <row r="14" customFormat="false" ht="15" hidden="false" customHeight="false" outlineLevel="0" collapsed="false">
      <c r="A14" s="4" t="s">
        <v>405</v>
      </c>
      <c r="B14" s="5" t="n">
        <f aca="false">'FY26 Actual'!D50</f>
        <v>3878.1</v>
      </c>
      <c r="C14" s="6" t="n">
        <f aca="false">IF(B8=0,0,B14/B8)</f>
        <v>0.102106316316053</v>
      </c>
      <c r="D14" s="14" t="n">
        <f aca="false">Assumptions!$B$37</f>
        <v>0.1</v>
      </c>
      <c r="E14" s="59" t="n">
        <f aca="false">E8</f>
        <v>43200</v>
      </c>
      <c r="F14" s="59" t="n">
        <f aca="false">E8*D14</f>
        <v>4320</v>
      </c>
      <c r="G14" s="59" t="n">
        <f aca="false">F14-B14</f>
        <v>441.9</v>
      </c>
      <c r="H14" s="59" t="n">
        <f aca="false">G14/12</f>
        <v>36.825</v>
      </c>
      <c r="I14" s="59" t="n">
        <f aca="false">I8</f>
        <v>47520</v>
      </c>
      <c r="J14" s="59" t="n">
        <f aca="false">I8*D14</f>
        <v>4752</v>
      </c>
      <c r="K14" s="59" t="n">
        <f aca="false">J14-F14</f>
        <v>432.000000000001</v>
      </c>
      <c r="L14" s="59" t="n">
        <f aca="false">K14/6</f>
        <v>72.0000000000002</v>
      </c>
    </row>
    <row r="15" customFormat="false" ht="15" hidden="false" customHeight="false" outlineLevel="0" collapsed="false">
      <c r="A15" s="4" t="s">
        <v>406</v>
      </c>
      <c r="B15" s="5" t="n">
        <f aca="false">'FY26 Actual'!D51</f>
        <v>3445.2</v>
      </c>
      <c r="C15" s="68" t="n">
        <f aca="false">IF(B9=0,0,B15/B9*365)</f>
        <v>102.560802544654</v>
      </c>
      <c r="D15" s="69" t="n">
        <f aca="false">Assumptions!$B$38</f>
        <v>95</v>
      </c>
      <c r="E15" s="59" t="n">
        <f aca="false">E9</f>
        <v>13419.0880503996</v>
      </c>
      <c r="F15" s="59" t="n">
        <f aca="false">E9*D15/365</f>
        <v>3492.63935558345</v>
      </c>
      <c r="G15" s="59" t="n">
        <f aca="false">F15-B15</f>
        <v>47.4393555834477</v>
      </c>
      <c r="H15" s="59" t="n">
        <f aca="false">G15/12</f>
        <v>3.95327963195397</v>
      </c>
      <c r="I15" s="59" t="n">
        <f aca="false">I9</f>
        <v>14760.9968554395</v>
      </c>
      <c r="J15" s="59" t="n">
        <f aca="false">I9*D15/365</f>
        <v>3841.90329114179</v>
      </c>
      <c r="K15" s="59" t="n">
        <f aca="false">J15-F15</f>
        <v>349.263935558346</v>
      </c>
      <c r="L15" s="59" t="n">
        <f aca="false">K15/6</f>
        <v>58.2106559263909</v>
      </c>
    </row>
    <row r="16" customFormat="false" ht="15" hidden="false" customHeight="false" outlineLevel="0" collapsed="false">
      <c r="A16" s="56" t="s">
        <v>407</v>
      </c>
      <c r="G16" s="70" t="n">
        <f aca="false">SUM(G12:G15)</f>
        <v>-775.582562224771</v>
      </c>
      <c r="H16" s="70" t="n">
        <f aca="false">SUM(H12:H15)</f>
        <v>-64.6318801853976</v>
      </c>
      <c r="K16" s="70" t="n">
        <f aca="false">SUM(K12:K15)</f>
        <v>-2236.81825622248</v>
      </c>
      <c r="L16" s="70" t="n">
        <f aca="false">SUM(L12:L15)</f>
        <v>-372.803042703747</v>
      </c>
    </row>
    <row r="18" customFormat="false" ht="15" hidden="false" customHeight="false" outlineLevel="0" collapsed="false">
      <c r="A18" s="1" t="s">
        <v>408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14" min="3" style="0" width="11.43"/>
    <col collapsed="false" customWidth="true" hidden="false" outlineLevel="0" max="15" min="15" style="0" width="13"/>
    <col collapsed="false" customWidth="true" hidden="false" outlineLevel="0" max="21" min="16" style="0" width="11.43"/>
    <col collapsed="false" customWidth="true" hidden="false" outlineLevel="0" max="23" min="22" style="0" width="13"/>
  </cols>
  <sheetData>
    <row r="1" customFormat="false" ht="15" hidden="false" customHeight="false" outlineLevel="0" collapsed="false">
      <c r="A1" s="1" t="s">
        <v>0</v>
      </c>
    </row>
    <row r="2" customFormat="false" ht="16.5" hidden="false" customHeight="true" outlineLevel="0" collapsed="false">
      <c r="A2" s="2" t="s">
        <v>409</v>
      </c>
    </row>
    <row r="3" customFormat="false" ht="15" hidden="false" customHeight="false" outlineLevel="0" collapsed="false">
      <c r="A3" s="1" t="s">
        <v>2</v>
      </c>
    </row>
    <row r="5" customFormat="false" ht="30" hidden="false" customHeight="true" outlineLevel="0" collapsed="false">
      <c r="B5" s="3" t="s">
        <v>3</v>
      </c>
      <c r="C5" s="61" t="n">
        <v>46113</v>
      </c>
      <c r="D5" s="61" t="n">
        <v>46143</v>
      </c>
      <c r="E5" s="61" t="n">
        <v>46174</v>
      </c>
      <c r="F5" s="61" t="n">
        <v>46204</v>
      </c>
      <c r="G5" s="61" t="n">
        <v>46235</v>
      </c>
      <c r="H5" s="61" t="n">
        <v>46266</v>
      </c>
      <c r="I5" s="61" t="n">
        <v>46296</v>
      </c>
      <c r="J5" s="61" t="n">
        <v>46327</v>
      </c>
      <c r="K5" s="61" t="n">
        <v>46357</v>
      </c>
      <c r="L5" s="61" t="n">
        <v>46388</v>
      </c>
      <c r="M5" s="61" t="n">
        <v>46419</v>
      </c>
      <c r="N5" s="61" t="n">
        <v>46447</v>
      </c>
      <c r="O5" s="3" t="s">
        <v>410</v>
      </c>
      <c r="P5" s="61" t="n">
        <v>46478</v>
      </c>
      <c r="Q5" s="61" t="n">
        <v>46508</v>
      </c>
      <c r="R5" s="61" t="n">
        <v>46539</v>
      </c>
      <c r="S5" s="61" t="n">
        <v>46569</v>
      </c>
      <c r="T5" s="61" t="n">
        <v>46600</v>
      </c>
      <c r="U5" s="61" t="n">
        <v>46631</v>
      </c>
      <c r="V5" s="3" t="s">
        <v>411</v>
      </c>
      <c r="W5" s="3" t="s">
        <v>412</v>
      </c>
    </row>
    <row r="6" customFormat="false" ht="15" hidden="false" customHeight="false" outlineLevel="0" collapsed="false">
      <c r="B6" s="56" t="s">
        <v>413</v>
      </c>
      <c r="C6" s="60" t="n">
        <f aca="false">Assumptions!$B$39</f>
        <v>4324.9</v>
      </c>
      <c r="D6" s="60" t="n">
        <f aca="false">C28</f>
        <v>4156.24124314794</v>
      </c>
      <c r="E6" s="60" t="n">
        <f aca="false">D28</f>
        <v>2855.74248629587</v>
      </c>
      <c r="F6" s="60" t="n">
        <f aca="false">E28</f>
        <v>2177.32372944381</v>
      </c>
      <c r="G6" s="60" t="n">
        <f aca="false">F28</f>
        <v>1870.42497259175</v>
      </c>
      <c r="H6" s="60" t="n">
        <f aca="false">G28</f>
        <v>1749.28621573968</v>
      </c>
      <c r="I6" s="60" t="n">
        <f aca="false">H28</f>
        <v>1831.18745888762</v>
      </c>
      <c r="J6" s="60" t="n">
        <f aca="false">I28</f>
        <v>2150.68870203555</v>
      </c>
      <c r="K6" s="60" t="n">
        <f aca="false">J28</f>
        <v>2513.38994518349</v>
      </c>
      <c r="L6" s="60" t="n">
        <f aca="false">K28</f>
        <v>2971.13118833142</v>
      </c>
      <c r="M6" s="60" t="n">
        <f aca="false">L28</f>
        <v>4089.83243147936</v>
      </c>
      <c r="N6" s="60" t="n">
        <f aca="false">M28</f>
        <v>5394.2936746273</v>
      </c>
      <c r="O6" s="71" t="n">
        <f aca="false">C6</f>
        <v>4324.9</v>
      </c>
      <c r="P6" s="60" t="n">
        <f aca="false">O28</f>
        <v>6880.19491777523</v>
      </c>
      <c r="Q6" s="60" t="n">
        <f aca="false">P28</f>
        <v>6821.08397740482</v>
      </c>
      <c r="R6" s="60" t="n">
        <f aca="false">Q28</f>
        <v>6761.97303703441</v>
      </c>
      <c r="S6" s="60" t="n">
        <f aca="false">R28</f>
        <v>6702.86209666399</v>
      </c>
      <c r="T6" s="60" t="n">
        <f aca="false">S28</f>
        <v>6643.75115629358</v>
      </c>
      <c r="U6" s="60" t="n">
        <f aca="false">T28</f>
        <v>6584.64021592317</v>
      </c>
      <c r="V6" s="71" t="n">
        <f aca="false">P6</f>
        <v>6880.19491777523</v>
      </c>
      <c r="W6" s="71" t="n">
        <f aca="false">C6</f>
        <v>4324.9</v>
      </c>
    </row>
    <row r="7" customFormat="false" ht="15" hidden="false" customHeight="false" outlineLevel="0" collapsed="false">
      <c r="B7" s="49" t="s">
        <v>414</v>
      </c>
      <c r="C7" s="5" t="n">
        <f aca="false">'Global PNL'!E48</f>
        <v>63.4000000000005</v>
      </c>
      <c r="D7" s="5" t="n">
        <f aca="false">'Global PNL'!F48</f>
        <v>-1068.44</v>
      </c>
      <c r="E7" s="5" t="n">
        <f aca="false">'Global PNL'!G48</f>
        <v>-446.36</v>
      </c>
      <c r="F7" s="5" t="n">
        <f aca="false">'Global PNL'!H48</f>
        <v>-74.8399999999992</v>
      </c>
      <c r="G7" s="5" t="n">
        <f aca="false">'Global PNL'!I48</f>
        <v>110.92</v>
      </c>
      <c r="H7" s="5" t="n">
        <f aca="false">'Global PNL'!J48</f>
        <v>313.960000000001</v>
      </c>
      <c r="I7" s="5" t="n">
        <f aca="false">'Global PNL'!K48</f>
        <v>551.56</v>
      </c>
      <c r="J7" s="5" t="n">
        <f aca="false">'Global PNL'!L48</f>
        <v>594.76</v>
      </c>
      <c r="K7" s="5" t="n">
        <f aca="false">'Global PNL'!M48</f>
        <v>689.8</v>
      </c>
      <c r="L7" s="5" t="n">
        <f aca="false">'Global PNL'!N48</f>
        <v>1350.76</v>
      </c>
      <c r="M7" s="5" t="n">
        <f aca="false">'Global PNL'!O48</f>
        <v>1536.52</v>
      </c>
      <c r="N7" s="5" t="n">
        <f aca="false">'Global PNL'!P48</f>
        <v>1717.96</v>
      </c>
      <c r="O7" s="71" t="n">
        <f aca="false">SUM(C7:N7)</f>
        <v>5340.00000000001</v>
      </c>
      <c r="P7" s="5" t="n">
        <f aca="false">'Global PNL'!V48</f>
        <v>489.5</v>
      </c>
      <c r="Q7" s="5" t="n">
        <f aca="false">'Global PNL'!W48</f>
        <v>489.5</v>
      </c>
      <c r="R7" s="5" t="n">
        <f aca="false">'Global PNL'!X48</f>
        <v>489.5</v>
      </c>
      <c r="S7" s="5" t="n">
        <f aca="false">'Global PNL'!Y48</f>
        <v>489.5</v>
      </c>
      <c r="T7" s="5" t="n">
        <f aca="false">'Global PNL'!Z48</f>
        <v>489.5</v>
      </c>
      <c r="U7" s="5" t="n">
        <f aca="false">'Global PNL'!AA48</f>
        <v>489.5</v>
      </c>
      <c r="V7" s="71" t="n">
        <f aca="false">SUM(P7:U7)</f>
        <v>2937</v>
      </c>
      <c r="W7" s="71" t="n">
        <f aca="false">O7+V7</f>
        <v>8277.00000000001</v>
      </c>
    </row>
    <row r="8" customFormat="false" ht="15" hidden="false" customHeight="false" outlineLevel="0" collapsed="false">
      <c r="B8" s="49" t="s">
        <v>415</v>
      </c>
      <c r="C8" s="5" t="n">
        <f aca="false">'Global PNL'!E53</f>
        <v>22.9</v>
      </c>
      <c r="D8" s="5" t="n">
        <f aca="false">'Global PNL'!F53</f>
        <v>22.9</v>
      </c>
      <c r="E8" s="5" t="n">
        <f aca="false">'Global PNL'!G53</f>
        <v>22.9</v>
      </c>
      <c r="F8" s="5" t="n">
        <f aca="false">'Global PNL'!H53</f>
        <v>22.9</v>
      </c>
      <c r="G8" s="5" t="n">
        <f aca="false">'Global PNL'!I53</f>
        <v>22.9</v>
      </c>
      <c r="H8" s="5" t="n">
        <f aca="false">'Global PNL'!J53</f>
        <v>22.9</v>
      </c>
      <c r="I8" s="5" t="n">
        <f aca="false">'Global PNL'!K53</f>
        <v>22.9</v>
      </c>
      <c r="J8" s="5" t="n">
        <f aca="false">'Global PNL'!L53</f>
        <v>22.9</v>
      </c>
      <c r="K8" s="5" t="n">
        <f aca="false">'Global PNL'!M53</f>
        <v>22.9</v>
      </c>
      <c r="L8" s="5" t="n">
        <f aca="false">'Global PNL'!N53</f>
        <v>22.9</v>
      </c>
      <c r="M8" s="5" t="n">
        <f aca="false">'Global PNL'!O53</f>
        <v>22.9</v>
      </c>
      <c r="N8" s="5" t="n">
        <f aca="false">'Global PNL'!P53</f>
        <v>22.9</v>
      </c>
      <c r="O8" s="71" t="n">
        <f aca="false">SUM(C8:N8)</f>
        <v>274.8</v>
      </c>
      <c r="P8" s="5" t="n">
        <f aca="false">'Global PNL'!V53</f>
        <v>25.19</v>
      </c>
      <c r="Q8" s="5" t="n">
        <f aca="false">'Global PNL'!W53</f>
        <v>25.19</v>
      </c>
      <c r="R8" s="5" t="n">
        <f aca="false">'Global PNL'!X53</f>
        <v>25.19</v>
      </c>
      <c r="S8" s="5" t="n">
        <f aca="false">'Global PNL'!Y53</f>
        <v>25.19</v>
      </c>
      <c r="T8" s="5" t="n">
        <f aca="false">'Global PNL'!Z53</f>
        <v>25.19</v>
      </c>
      <c r="U8" s="5" t="n">
        <f aca="false">'Global PNL'!AA53</f>
        <v>25.19</v>
      </c>
      <c r="V8" s="71" t="n">
        <f aca="false">SUM(P8:U8)</f>
        <v>151.14</v>
      </c>
      <c r="W8" s="71" t="n">
        <f aca="false">O8+V8</f>
        <v>425.94</v>
      </c>
    </row>
    <row r="9" customFormat="false" ht="15" hidden="false" customHeight="false" outlineLevel="0" collapsed="false">
      <c r="B9" s="56" t="s">
        <v>416</v>
      </c>
    </row>
    <row r="10" customFormat="false" ht="15" hidden="false" customHeight="false" outlineLevel="0" collapsed="false">
      <c r="B10" s="49" t="s">
        <v>417</v>
      </c>
      <c r="C10" s="5" t="n">
        <f aca="false">'Working Capital'!$H$12</f>
        <v>-48.2385844748857</v>
      </c>
      <c r="D10" s="5" t="n">
        <f aca="false">'Working Capital'!$H$12</f>
        <v>-48.2385844748857</v>
      </c>
      <c r="E10" s="5" t="n">
        <f aca="false">'Working Capital'!$H$12</f>
        <v>-48.2385844748857</v>
      </c>
      <c r="F10" s="5" t="n">
        <f aca="false">'Working Capital'!$H$12</f>
        <v>-48.2385844748857</v>
      </c>
      <c r="G10" s="5" t="n">
        <f aca="false">'Working Capital'!$H$12</f>
        <v>-48.2385844748857</v>
      </c>
      <c r="H10" s="5" t="n">
        <f aca="false">'Working Capital'!$H$12</f>
        <v>-48.2385844748857</v>
      </c>
      <c r="I10" s="5" t="n">
        <f aca="false">'Working Capital'!$H$12</f>
        <v>-48.2385844748857</v>
      </c>
      <c r="J10" s="5" t="n">
        <f aca="false">'Working Capital'!$H$12</f>
        <v>-48.2385844748857</v>
      </c>
      <c r="K10" s="5" t="n">
        <f aca="false">'Working Capital'!$H$12</f>
        <v>-48.2385844748857</v>
      </c>
      <c r="L10" s="5" t="n">
        <f aca="false">'Working Capital'!$H$12</f>
        <v>-48.2385844748857</v>
      </c>
      <c r="M10" s="5" t="n">
        <f aca="false">'Working Capital'!$H$12</f>
        <v>-48.2385844748857</v>
      </c>
      <c r="N10" s="5" t="n">
        <f aca="false">'Working Capital'!$H$12</f>
        <v>-48.2385844748857</v>
      </c>
      <c r="O10" s="71" t="n">
        <f aca="false">SUM(C10:N10)</f>
        <v>-578.863013698628</v>
      </c>
      <c r="P10" s="5" t="n">
        <f aca="false">'Working Capital'!$L$12</f>
        <v>-276.164383561644</v>
      </c>
      <c r="Q10" s="5" t="n">
        <f aca="false">'Working Capital'!$L$12</f>
        <v>-276.164383561644</v>
      </c>
      <c r="R10" s="5" t="n">
        <f aca="false">'Working Capital'!$L$12</f>
        <v>-276.164383561644</v>
      </c>
      <c r="S10" s="5" t="n">
        <f aca="false">'Working Capital'!$L$12</f>
        <v>-276.164383561644</v>
      </c>
      <c r="T10" s="5" t="n">
        <f aca="false">'Working Capital'!$L$12</f>
        <v>-276.164383561644</v>
      </c>
      <c r="U10" s="5" t="n">
        <f aca="false">'Working Capital'!$L$12</f>
        <v>-276.164383561644</v>
      </c>
      <c r="V10" s="71" t="n">
        <f aca="false">SUM(P10:U10)</f>
        <v>-1656.98630136987</v>
      </c>
      <c r="W10" s="71" t="n">
        <f aca="false">O10+V10</f>
        <v>-2235.8493150685</v>
      </c>
    </row>
    <row r="11" customFormat="false" ht="15" hidden="false" customHeight="false" outlineLevel="0" collapsed="false">
      <c r="B11" s="49" t="s">
        <v>418</v>
      </c>
      <c r="C11" s="5" t="n">
        <f aca="false">'Working Capital'!$H$13</f>
        <v>-57.1715753424658</v>
      </c>
      <c r="D11" s="5" t="n">
        <f aca="false">'Working Capital'!$H$13</f>
        <v>-57.1715753424658</v>
      </c>
      <c r="E11" s="5" t="n">
        <f aca="false">'Working Capital'!$H$13</f>
        <v>-57.1715753424658</v>
      </c>
      <c r="F11" s="5" t="n">
        <f aca="false">'Working Capital'!$H$13</f>
        <v>-57.1715753424658</v>
      </c>
      <c r="G11" s="5" t="n">
        <f aca="false">'Working Capital'!$H$13</f>
        <v>-57.1715753424658</v>
      </c>
      <c r="H11" s="5" t="n">
        <f aca="false">'Working Capital'!$H$13</f>
        <v>-57.1715753424658</v>
      </c>
      <c r="I11" s="5" t="n">
        <f aca="false">'Working Capital'!$H$13</f>
        <v>-57.1715753424658</v>
      </c>
      <c r="J11" s="5" t="n">
        <f aca="false">'Working Capital'!$H$13</f>
        <v>-57.1715753424658</v>
      </c>
      <c r="K11" s="5" t="n">
        <f aca="false">'Working Capital'!$H$13</f>
        <v>-57.1715753424658</v>
      </c>
      <c r="L11" s="5" t="n">
        <f aca="false">'Working Capital'!$H$13</f>
        <v>-57.1715753424658</v>
      </c>
      <c r="M11" s="5" t="n">
        <f aca="false">'Working Capital'!$H$13</f>
        <v>-57.1715753424658</v>
      </c>
      <c r="N11" s="5" t="n">
        <f aca="false">'Working Capital'!$H$13</f>
        <v>-57.1715753424658</v>
      </c>
      <c r="O11" s="71" t="n">
        <f aca="false">SUM(C11:N11)</f>
        <v>-686.05890410959</v>
      </c>
      <c r="P11" s="5" t="n">
        <f aca="false">'Working Capital'!$L$13</f>
        <v>-226.849315068494</v>
      </c>
      <c r="Q11" s="5" t="n">
        <f aca="false">'Working Capital'!$L$13</f>
        <v>-226.849315068494</v>
      </c>
      <c r="R11" s="5" t="n">
        <f aca="false">'Working Capital'!$L$13</f>
        <v>-226.849315068494</v>
      </c>
      <c r="S11" s="5" t="n">
        <f aca="false">'Working Capital'!$L$13</f>
        <v>-226.849315068494</v>
      </c>
      <c r="T11" s="5" t="n">
        <f aca="false">'Working Capital'!$L$13</f>
        <v>-226.849315068494</v>
      </c>
      <c r="U11" s="5" t="n">
        <f aca="false">'Working Capital'!$L$13</f>
        <v>-226.849315068494</v>
      </c>
      <c r="V11" s="71" t="n">
        <f aca="false">SUM(P11:U11)</f>
        <v>-1361.09589041096</v>
      </c>
      <c r="W11" s="71" t="n">
        <f aca="false">O11+V11</f>
        <v>-2047.15479452055</v>
      </c>
    </row>
    <row r="12" customFormat="false" ht="15" hidden="false" customHeight="false" outlineLevel="0" collapsed="false">
      <c r="B12" s="49" t="s">
        <v>419</v>
      </c>
      <c r="C12" s="5" t="n">
        <f aca="false">'Working Capital'!$H$14</f>
        <v>36.825</v>
      </c>
      <c r="D12" s="5" t="n">
        <f aca="false">'Working Capital'!$H$14</f>
        <v>36.825</v>
      </c>
      <c r="E12" s="5" t="n">
        <f aca="false">'Working Capital'!$H$14</f>
        <v>36.825</v>
      </c>
      <c r="F12" s="5" t="n">
        <f aca="false">'Working Capital'!$H$14</f>
        <v>36.825</v>
      </c>
      <c r="G12" s="5" t="n">
        <f aca="false">'Working Capital'!$H$14</f>
        <v>36.825</v>
      </c>
      <c r="H12" s="5" t="n">
        <f aca="false">'Working Capital'!$H$14</f>
        <v>36.825</v>
      </c>
      <c r="I12" s="5" t="n">
        <f aca="false">'Working Capital'!$H$14</f>
        <v>36.825</v>
      </c>
      <c r="J12" s="5" t="n">
        <f aca="false">'Working Capital'!$H$14</f>
        <v>36.825</v>
      </c>
      <c r="K12" s="5" t="n">
        <f aca="false">'Working Capital'!$H$14</f>
        <v>36.825</v>
      </c>
      <c r="L12" s="5" t="n">
        <f aca="false">'Working Capital'!$H$14</f>
        <v>36.825</v>
      </c>
      <c r="M12" s="5" t="n">
        <f aca="false">'Working Capital'!$H$14</f>
        <v>36.825</v>
      </c>
      <c r="N12" s="5" t="n">
        <f aca="false">'Working Capital'!$H$14</f>
        <v>36.825</v>
      </c>
      <c r="O12" s="71" t="n">
        <f aca="false">SUM(C12:N12)</f>
        <v>441.9</v>
      </c>
      <c r="P12" s="5" t="n">
        <f aca="false">'Working Capital'!$L$14</f>
        <v>72.0000000000002</v>
      </c>
      <c r="Q12" s="5" t="n">
        <f aca="false">'Working Capital'!$L$14</f>
        <v>72.0000000000002</v>
      </c>
      <c r="R12" s="5" t="n">
        <f aca="false">'Working Capital'!$L$14</f>
        <v>72.0000000000002</v>
      </c>
      <c r="S12" s="5" t="n">
        <f aca="false">'Working Capital'!$L$14</f>
        <v>72.0000000000002</v>
      </c>
      <c r="T12" s="5" t="n">
        <f aca="false">'Working Capital'!$L$14</f>
        <v>72.0000000000002</v>
      </c>
      <c r="U12" s="5" t="n">
        <f aca="false">'Working Capital'!$L$14</f>
        <v>72.0000000000002</v>
      </c>
      <c r="V12" s="71" t="n">
        <f aca="false">SUM(P12:U12)</f>
        <v>432.000000000001</v>
      </c>
      <c r="W12" s="71" t="n">
        <f aca="false">O12+V12</f>
        <v>873.900000000001</v>
      </c>
    </row>
    <row r="13" customFormat="false" ht="15" hidden="false" customHeight="false" outlineLevel="0" collapsed="false">
      <c r="B13" s="49" t="s">
        <v>420</v>
      </c>
      <c r="C13" s="5" t="n">
        <f aca="false">'Working Capital'!$H$15</f>
        <v>3.95327963195397</v>
      </c>
      <c r="D13" s="5" t="n">
        <f aca="false">'Working Capital'!$H$15</f>
        <v>3.95327963195397</v>
      </c>
      <c r="E13" s="5" t="n">
        <f aca="false">'Working Capital'!$H$15</f>
        <v>3.95327963195397</v>
      </c>
      <c r="F13" s="5" t="n">
        <f aca="false">'Working Capital'!$H$15</f>
        <v>3.95327963195397</v>
      </c>
      <c r="G13" s="5" t="n">
        <f aca="false">'Working Capital'!$H$15</f>
        <v>3.95327963195397</v>
      </c>
      <c r="H13" s="5" t="n">
        <f aca="false">'Working Capital'!$H$15</f>
        <v>3.95327963195397</v>
      </c>
      <c r="I13" s="5" t="n">
        <f aca="false">'Working Capital'!$H$15</f>
        <v>3.95327963195397</v>
      </c>
      <c r="J13" s="5" t="n">
        <f aca="false">'Working Capital'!$H$15</f>
        <v>3.95327963195397</v>
      </c>
      <c r="K13" s="5" t="n">
        <f aca="false">'Working Capital'!$H$15</f>
        <v>3.95327963195397</v>
      </c>
      <c r="L13" s="5" t="n">
        <f aca="false">'Working Capital'!$H$15</f>
        <v>3.95327963195397</v>
      </c>
      <c r="M13" s="5" t="n">
        <f aca="false">'Working Capital'!$H$15</f>
        <v>3.95327963195397</v>
      </c>
      <c r="N13" s="5" t="n">
        <f aca="false">'Working Capital'!$H$15</f>
        <v>3.95327963195397</v>
      </c>
      <c r="O13" s="71" t="n">
        <f aca="false">SUM(C13:N13)</f>
        <v>47.4393555834476</v>
      </c>
      <c r="P13" s="5" t="n">
        <f aca="false">'Working Capital'!$L$15</f>
        <v>58.2106559263909</v>
      </c>
      <c r="Q13" s="5" t="n">
        <f aca="false">'Working Capital'!$L$15</f>
        <v>58.2106559263909</v>
      </c>
      <c r="R13" s="5" t="n">
        <f aca="false">'Working Capital'!$L$15</f>
        <v>58.2106559263909</v>
      </c>
      <c r="S13" s="5" t="n">
        <f aca="false">'Working Capital'!$L$15</f>
        <v>58.2106559263909</v>
      </c>
      <c r="T13" s="5" t="n">
        <f aca="false">'Working Capital'!$L$15</f>
        <v>58.2106559263909</v>
      </c>
      <c r="U13" s="5" t="n">
        <f aca="false">'Working Capital'!$L$15</f>
        <v>58.2106559263909</v>
      </c>
      <c r="V13" s="71" t="n">
        <f aca="false">SUM(P13:U13)</f>
        <v>349.263935558346</v>
      </c>
      <c r="W13" s="71" t="n">
        <f aca="false">O13+V13</f>
        <v>396.703291141793</v>
      </c>
    </row>
    <row r="14" customFormat="false" ht="15" hidden="false" customHeight="false" outlineLevel="0" collapsed="false">
      <c r="B14" s="56" t="s">
        <v>421</v>
      </c>
      <c r="C14" s="72" t="n">
        <f aca="false">SUM(C7:C13)</f>
        <v>21.668119814603</v>
      </c>
      <c r="D14" s="72" t="n">
        <f aca="false">SUM(D7:D13)</f>
        <v>-1110.1718801854</v>
      </c>
      <c r="E14" s="72" t="n">
        <f aca="false">SUM(E7:E13)</f>
        <v>-488.091880185397</v>
      </c>
      <c r="F14" s="72" t="n">
        <f aca="false">SUM(F7:F13)</f>
        <v>-116.571880185397</v>
      </c>
      <c r="G14" s="72" t="n">
        <f aca="false">SUM(G7:G13)</f>
        <v>69.1881198146025</v>
      </c>
      <c r="H14" s="72" t="n">
        <f aca="false">SUM(H7:H13)</f>
        <v>272.228119814603</v>
      </c>
      <c r="I14" s="72" t="n">
        <f aca="false">SUM(I7:I13)</f>
        <v>509.828119814603</v>
      </c>
      <c r="J14" s="72" t="n">
        <f aca="false">SUM(J7:J13)</f>
        <v>553.028119814603</v>
      </c>
      <c r="K14" s="72" t="n">
        <f aca="false">SUM(K7:K13)</f>
        <v>648.068119814603</v>
      </c>
      <c r="L14" s="72" t="n">
        <f aca="false">SUM(L7:L13)</f>
        <v>1309.0281198146</v>
      </c>
      <c r="M14" s="72" t="n">
        <f aca="false">SUM(M7:M13)</f>
        <v>1494.7881198146</v>
      </c>
      <c r="N14" s="72" t="n">
        <f aca="false">SUM(N7:N13)</f>
        <v>1676.2281198146</v>
      </c>
      <c r="O14" s="73" t="n">
        <f aca="false">SUM(C14:N14)</f>
        <v>4839.21743777523</v>
      </c>
      <c r="P14" s="72" t="n">
        <f aca="false">SUM(P7:P13)</f>
        <v>141.886957296254</v>
      </c>
      <c r="Q14" s="72" t="n">
        <f aca="false">SUM(Q7:Q13)</f>
        <v>141.886957296254</v>
      </c>
      <c r="R14" s="72" t="n">
        <f aca="false">SUM(R7:R13)</f>
        <v>141.886957296254</v>
      </c>
      <c r="S14" s="72" t="n">
        <f aca="false">SUM(S7:S13)</f>
        <v>141.886957296254</v>
      </c>
      <c r="T14" s="72" t="n">
        <f aca="false">SUM(T7:T13)</f>
        <v>141.886957296254</v>
      </c>
      <c r="U14" s="72" t="n">
        <f aca="false">SUM(U7:U13)</f>
        <v>141.886957296254</v>
      </c>
      <c r="V14" s="73" t="n">
        <f aca="false">SUM(P14:U14)</f>
        <v>851.321743777521</v>
      </c>
      <c r="W14" s="73" t="n">
        <f aca="false">O14+V14</f>
        <v>5690.53918155276</v>
      </c>
    </row>
    <row r="15" customFormat="false" ht="15" hidden="false" customHeight="false" outlineLevel="0" collapsed="false">
      <c r="B15" s="49" t="s">
        <v>422</v>
      </c>
      <c r="C15" s="51" t="n">
        <f aca="false">-'Global PNL'!E58</f>
        <v>-81.7102100000002</v>
      </c>
      <c r="D15" s="51" t="n">
        <f aca="false">-'Global PNL'!F58</f>
        <v>-81.7102100000002</v>
      </c>
      <c r="E15" s="51" t="n">
        <f aca="false">-'Global PNL'!G58</f>
        <v>-81.7102100000002</v>
      </c>
      <c r="F15" s="51" t="n">
        <f aca="false">-'Global PNL'!H58</f>
        <v>-81.7102100000002</v>
      </c>
      <c r="G15" s="51" t="n">
        <f aca="false">-'Global PNL'!I58</f>
        <v>-81.7102100000002</v>
      </c>
      <c r="H15" s="51" t="n">
        <f aca="false">-'Global PNL'!J58</f>
        <v>-81.7102100000002</v>
      </c>
      <c r="I15" s="51" t="n">
        <f aca="false">-'Global PNL'!K58</f>
        <v>-81.7102100000002</v>
      </c>
      <c r="J15" s="51" t="n">
        <f aca="false">-'Global PNL'!L58</f>
        <v>-81.7102100000002</v>
      </c>
      <c r="K15" s="51" t="n">
        <f aca="false">-'Global PNL'!M58</f>
        <v>-81.7102100000002</v>
      </c>
      <c r="L15" s="51" t="n">
        <f aca="false">-'Global PNL'!N58</f>
        <v>-81.7102100000002</v>
      </c>
      <c r="M15" s="51" t="n">
        <f aca="false">-'Global PNL'!O58</f>
        <v>-81.7102100000002</v>
      </c>
      <c r="N15" s="51" t="n">
        <f aca="false">-'Global PNL'!P58</f>
        <v>-81.7102100000002</v>
      </c>
      <c r="O15" s="71" t="n">
        <f aca="false">SUM(C15:N15)</f>
        <v>-980.522520000002</v>
      </c>
      <c r="P15" s="51" t="n">
        <f aca="false">-'Global PNL'!V58</f>
        <v>-89.8812310000001</v>
      </c>
      <c r="Q15" s="51" t="n">
        <f aca="false">-'Global PNL'!W58</f>
        <v>-89.8812310000001</v>
      </c>
      <c r="R15" s="51" t="n">
        <f aca="false">-'Global PNL'!X58</f>
        <v>-89.8812310000001</v>
      </c>
      <c r="S15" s="51" t="n">
        <f aca="false">-'Global PNL'!Y58</f>
        <v>-89.8812310000001</v>
      </c>
      <c r="T15" s="51" t="n">
        <f aca="false">-'Global PNL'!Z58</f>
        <v>-89.8812310000001</v>
      </c>
      <c r="U15" s="51" t="n">
        <f aca="false">-'Global PNL'!AA58</f>
        <v>-89.8812310000001</v>
      </c>
      <c r="V15" s="71" t="n">
        <f aca="false">SUM(P15:U15)</f>
        <v>-539.287386000001</v>
      </c>
      <c r="W15" s="71" t="n">
        <f aca="false">O15+V15</f>
        <v>-1519.809906</v>
      </c>
    </row>
    <row r="16" customFormat="false" ht="15" hidden="false" customHeight="false" outlineLevel="0" collapsed="false">
      <c r="B16" s="56" t="s">
        <v>423</v>
      </c>
      <c r="C16" s="72" t="n">
        <f aca="false">C14+C15</f>
        <v>-60.0420901853972</v>
      </c>
      <c r="D16" s="72" t="n">
        <f aca="false">D14+D15</f>
        <v>-1191.8820901854</v>
      </c>
      <c r="E16" s="72" t="n">
        <f aca="false">E14+E15</f>
        <v>-569.802090185397</v>
      </c>
      <c r="F16" s="72" t="n">
        <f aca="false">F14+F15</f>
        <v>-198.282090185397</v>
      </c>
      <c r="G16" s="72" t="n">
        <f aca="false">G14+G15</f>
        <v>-12.5220901853976</v>
      </c>
      <c r="H16" s="72" t="n">
        <f aca="false">H14+H15</f>
        <v>190.517909814603</v>
      </c>
      <c r="I16" s="72" t="n">
        <f aca="false">I14+I15</f>
        <v>428.117909814603</v>
      </c>
      <c r="J16" s="72" t="n">
        <f aca="false">J14+J15</f>
        <v>471.317909814603</v>
      </c>
      <c r="K16" s="72" t="n">
        <f aca="false">K14+K15</f>
        <v>566.357909814602</v>
      </c>
      <c r="L16" s="72" t="n">
        <f aca="false">L14+L15</f>
        <v>1227.3179098146</v>
      </c>
      <c r="M16" s="72" t="n">
        <f aca="false">M14+M15</f>
        <v>1413.0779098146</v>
      </c>
      <c r="N16" s="72" t="n">
        <f aca="false">N14+N15</f>
        <v>1594.5179098146</v>
      </c>
      <c r="O16" s="73" t="n">
        <f aca="false">SUM(C16:N16)</f>
        <v>3858.69491777523</v>
      </c>
      <c r="P16" s="72" t="n">
        <f aca="false">P14+P15</f>
        <v>52.0057262962534</v>
      </c>
      <c r="Q16" s="72" t="n">
        <f aca="false">Q14+Q15</f>
        <v>52.0057262962534</v>
      </c>
      <c r="R16" s="72" t="n">
        <f aca="false">R14+R15</f>
        <v>52.0057262962534</v>
      </c>
      <c r="S16" s="72" t="n">
        <f aca="false">S14+S15</f>
        <v>52.0057262962534</v>
      </c>
      <c r="T16" s="72" t="n">
        <f aca="false">T14+T15</f>
        <v>52.0057262962534</v>
      </c>
      <c r="U16" s="72" t="n">
        <f aca="false">U14+U15</f>
        <v>52.0057262962534</v>
      </c>
      <c r="V16" s="73" t="n">
        <f aca="false">SUM(P16:U16)</f>
        <v>312.034357777521</v>
      </c>
      <c r="W16" s="73" t="n">
        <f aca="false">O16+V16</f>
        <v>4170.72927555275</v>
      </c>
    </row>
    <row r="18" customFormat="false" ht="15" hidden="false" customHeight="false" outlineLevel="0" collapsed="false">
      <c r="B18" s="49" t="s">
        <v>99</v>
      </c>
      <c r="C18" s="51" t="n">
        <f aca="false">-Assumptions!$B$33/12</f>
        <v>-25</v>
      </c>
      <c r="D18" s="51" t="n">
        <f aca="false">-Assumptions!$B$33/12</f>
        <v>-25</v>
      </c>
      <c r="E18" s="51" t="n">
        <f aca="false">-Assumptions!$B$33/12</f>
        <v>-25</v>
      </c>
      <c r="F18" s="51" t="n">
        <f aca="false">-Assumptions!$B$33/12</f>
        <v>-25</v>
      </c>
      <c r="G18" s="51" t="n">
        <f aca="false">-Assumptions!$B$33/12</f>
        <v>-25</v>
      </c>
      <c r="H18" s="51" t="n">
        <f aca="false">-Assumptions!$B$33/12</f>
        <v>-25</v>
      </c>
      <c r="I18" s="51" t="n">
        <f aca="false">-Assumptions!$B$33/12</f>
        <v>-25</v>
      </c>
      <c r="J18" s="51" t="n">
        <f aca="false">-Assumptions!$B$33/12</f>
        <v>-25</v>
      </c>
      <c r="K18" s="51" t="n">
        <f aca="false">-Assumptions!$B$33/12</f>
        <v>-25</v>
      </c>
      <c r="L18" s="51" t="n">
        <f aca="false">-Assumptions!$B$33/12</f>
        <v>-25</v>
      </c>
      <c r="M18" s="51" t="n">
        <f aca="false">-Assumptions!$B$33/12</f>
        <v>-25</v>
      </c>
      <c r="N18" s="51" t="n">
        <f aca="false">-Assumptions!$B$33/12</f>
        <v>-25</v>
      </c>
      <c r="O18" s="71" t="n">
        <f aca="false">SUM(C18:N18)</f>
        <v>-300</v>
      </c>
      <c r="P18" s="51" t="n">
        <f aca="false">-Assumptions!$B$33*(1+Assumptions!$B$42)/12</f>
        <v>-27.5</v>
      </c>
      <c r="Q18" s="51" t="n">
        <f aca="false">-Assumptions!$B$33*(1+Assumptions!$B$42)/12</f>
        <v>-27.5</v>
      </c>
      <c r="R18" s="51" t="n">
        <f aca="false">-Assumptions!$B$33*(1+Assumptions!$B$42)/12</f>
        <v>-27.5</v>
      </c>
      <c r="S18" s="51" t="n">
        <f aca="false">-Assumptions!$B$33*(1+Assumptions!$B$42)/12</f>
        <v>-27.5</v>
      </c>
      <c r="T18" s="51" t="n">
        <f aca="false">-Assumptions!$B$33*(1+Assumptions!$B$42)/12</f>
        <v>-27.5</v>
      </c>
      <c r="U18" s="51" t="n">
        <f aca="false">-Assumptions!$B$33*(1+Assumptions!$B$42)/12</f>
        <v>-27.5</v>
      </c>
      <c r="V18" s="71" t="n">
        <f aca="false">SUM(P18:U18)</f>
        <v>-165</v>
      </c>
      <c r="W18" s="71" t="n">
        <f aca="false">O18+V18</f>
        <v>-465</v>
      </c>
    </row>
    <row r="19" customFormat="false" ht="15" hidden="false" customHeight="false" outlineLevel="0" collapsed="false">
      <c r="B19" s="56" t="s">
        <v>424</v>
      </c>
      <c r="C19" s="72" t="n">
        <f aca="false">C18</f>
        <v>-25</v>
      </c>
      <c r="D19" s="72" t="n">
        <f aca="false">D18</f>
        <v>-25</v>
      </c>
      <c r="E19" s="72" t="n">
        <f aca="false">E18</f>
        <v>-25</v>
      </c>
      <c r="F19" s="72" t="n">
        <f aca="false">F18</f>
        <v>-25</v>
      </c>
      <c r="G19" s="72" t="n">
        <f aca="false">G18</f>
        <v>-25</v>
      </c>
      <c r="H19" s="72" t="n">
        <f aca="false">H18</f>
        <v>-25</v>
      </c>
      <c r="I19" s="72" t="n">
        <f aca="false">I18</f>
        <v>-25</v>
      </c>
      <c r="J19" s="72" t="n">
        <f aca="false">J18</f>
        <v>-25</v>
      </c>
      <c r="K19" s="72" t="n">
        <f aca="false">K18</f>
        <v>-25</v>
      </c>
      <c r="L19" s="72" t="n">
        <f aca="false">L18</f>
        <v>-25</v>
      </c>
      <c r="M19" s="72" t="n">
        <f aca="false">M18</f>
        <v>-25</v>
      </c>
      <c r="N19" s="72" t="n">
        <f aca="false">N18</f>
        <v>-25</v>
      </c>
      <c r="O19" s="73" t="n">
        <f aca="false">SUM(C19:N19)</f>
        <v>-300</v>
      </c>
      <c r="P19" s="72" t="n">
        <f aca="false">P18</f>
        <v>-27.5</v>
      </c>
      <c r="Q19" s="72" t="n">
        <f aca="false">Q18</f>
        <v>-27.5</v>
      </c>
      <c r="R19" s="72" t="n">
        <f aca="false">R18</f>
        <v>-27.5</v>
      </c>
      <c r="S19" s="72" t="n">
        <f aca="false">S18</f>
        <v>-27.5</v>
      </c>
      <c r="T19" s="72" t="n">
        <f aca="false">T18</f>
        <v>-27.5</v>
      </c>
      <c r="U19" s="72" t="n">
        <f aca="false">U18</f>
        <v>-27.5</v>
      </c>
      <c r="V19" s="73" t="n">
        <f aca="false">SUM(P19:U19)</f>
        <v>-165</v>
      </c>
      <c r="W19" s="73" t="n">
        <f aca="false">O19+V19</f>
        <v>-465</v>
      </c>
    </row>
    <row r="21" customFormat="false" ht="15" hidden="false" customHeight="false" outlineLevel="0" collapsed="false">
      <c r="B21" s="49" t="s">
        <v>100</v>
      </c>
      <c r="C21" s="51" t="n">
        <f aca="false">-Assumptions!$B$34/12</f>
        <v>-83.6166666666667</v>
      </c>
      <c r="D21" s="51" t="n">
        <f aca="false">-Assumptions!$B$34/12</f>
        <v>-83.6166666666667</v>
      </c>
      <c r="E21" s="51" t="n">
        <f aca="false">-Assumptions!$B$34/12</f>
        <v>-83.6166666666667</v>
      </c>
      <c r="F21" s="51" t="n">
        <f aca="false">-Assumptions!$B$34/12</f>
        <v>-83.6166666666667</v>
      </c>
      <c r="G21" s="51" t="n">
        <f aca="false">-Assumptions!$B$34/12</f>
        <v>-83.6166666666667</v>
      </c>
      <c r="H21" s="51" t="n">
        <f aca="false">-Assumptions!$B$34/12</f>
        <v>-83.6166666666667</v>
      </c>
      <c r="I21" s="51" t="n">
        <f aca="false">-Assumptions!$B$34/12</f>
        <v>-83.6166666666667</v>
      </c>
      <c r="J21" s="51" t="n">
        <f aca="false">-Assumptions!$B$34/12</f>
        <v>-83.6166666666667</v>
      </c>
      <c r="K21" s="51" t="n">
        <f aca="false">-Assumptions!$B$34/12</f>
        <v>-83.6166666666667</v>
      </c>
      <c r="L21" s="51" t="n">
        <f aca="false">-Assumptions!$B$34/12</f>
        <v>-83.6166666666667</v>
      </c>
      <c r="M21" s="51" t="n">
        <f aca="false">-Assumptions!$B$34/12</f>
        <v>-83.6166666666667</v>
      </c>
      <c r="N21" s="51" t="n">
        <f aca="false">-Assumptions!$B$34/12</f>
        <v>-83.6166666666667</v>
      </c>
      <c r="O21" s="71" t="n">
        <f aca="false">SUM(C21:N21)</f>
        <v>-1003.4</v>
      </c>
      <c r="P21" s="51" t="n">
        <f aca="false">-Assumptions!$B$34/12</f>
        <v>-83.6166666666667</v>
      </c>
      <c r="Q21" s="51" t="n">
        <f aca="false">-Assumptions!$B$34/12</f>
        <v>-83.6166666666667</v>
      </c>
      <c r="R21" s="51" t="n">
        <f aca="false">-Assumptions!$B$34/12</f>
        <v>-83.6166666666667</v>
      </c>
      <c r="S21" s="51" t="n">
        <f aca="false">-Assumptions!$B$34/12</f>
        <v>-83.6166666666667</v>
      </c>
      <c r="T21" s="51" t="n">
        <f aca="false">-Assumptions!$B$34/12</f>
        <v>-83.6166666666667</v>
      </c>
      <c r="U21" s="51" t="n">
        <f aca="false">-Assumptions!$B$34/12</f>
        <v>-83.6166666666667</v>
      </c>
      <c r="V21" s="71" t="n">
        <f aca="false">SUM(P21:U21)</f>
        <v>-501.7</v>
      </c>
      <c r="W21" s="71" t="n">
        <f aca="false">O21+V21</f>
        <v>-1505.1</v>
      </c>
    </row>
    <row r="22" customFormat="false" ht="15" hidden="false" customHeight="false" outlineLevel="0" collapsed="false">
      <c r="B22" s="49" t="s">
        <v>425</v>
      </c>
      <c r="C22" s="51" t="n">
        <f aca="false">0</f>
        <v>0</v>
      </c>
      <c r="D22" s="51" t="n">
        <f aca="false">0</f>
        <v>0</v>
      </c>
      <c r="E22" s="51" t="n">
        <f aca="false">0</f>
        <v>0</v>
      </c>
      <c r="F22" s="51" t="n">
        <f aca="false">0</f>
        <v>0</v>
      </c>
      <c r="G22" s="51" t="n">
        <f aca="false">0</f>
        <v>0</v>
      </c>
      <c r="H22" s="51" t="n">
        <f aca="false">0</f>
        <v>0</v>
      </c>
      <c r="I22" s="51" t="n">
        <f aca="false">0</f>
        <v>0</v>
      </c>
      <c r="J22" s="51" t="n">
        <f aca="false">0</f>
        <v>0</v>
      </c>
      <c r="K22" s="51" t="n">
        <f aca="false">0</f>
        <v>0</v>
      </c>
      <c r="L22" s="51" t="n">
        <f aca="false">0</f>
        <v>0</v>
      </c>
      <c r="M22" s="51" t="n">
        <f aca="false">0</f>
        <v>0</v>
      </c>
      <c r="N22" s="51" t="n">
        <f aca="false">0</f>
        <v>0</v>
      </c>
      <c r="O22" s="71" t="n">
        <f aca="false">SUM(C22:N22)</f>
        <v>0</v>
      </c>
      <c r="P22" s="51" t="n">
        <f aca="false">0</f>
        <v>0</v>
      </c>
      <c r="Q22" s="51" t="n">
        <f aca="false">0</f>
        <v>0</v>
      </c>
      <c r="R22" s="51" t="n">
        <f aca="false">0</f>
        <v>0</v>
      </c>
      <c r="S22" s="51" t="n">
        <f aca="false">0</f>
        <v>0</v>
      </c>
      <c r="T22" s="51" t="n">
        <f aca="false">0</f>
        <v>0</v>
      </c>
      <c r="U22" s="51" t="n">
        <f aca="false">0</f>
        <v>0</v>
      </c>
      <c r="V22" s="71" t="n">
        <f aca="false">SUM(P22:U22)</f>
        <v>0</v>
      </c>
      <c r="W22" s="71" t="n">
        <f aca="false">O22+V22</f>
        <v>0</v>
      </c>
    </row>
    <row r="23" customFormat="false" ht="15" hidden="false" customHeight="false" outlineLevel="0" collapsed="false">
      <c r="B23" s="56" t="s">
        <v>426</v>
      </c>
      <c r="C23" s="72" t="n">
        <f aca="false">C21+C22</f>
        <v>-83.6166666666667</v>
      </c>
      <c r="D23" s="72" t="n">
        <f aca="false">D21+D22</f>
        <v>-83.6166666666667</v>
      </c>
      <c r="E23" s="72" t="n">
        <f aca="false">E21+E22</f>
        <v>-83.6166666666667</v>
      </c>
      <c r="F23" s="72" t="n">
        <f aca="false">F21+F22</f>
        <v>-83.6166666666667</v>
      </c>
      <c r="G23" s="72" t="n">
        <f aca="false">G21+G22</f>
        <v>-83.6166666666667</v>
      </c>
      <c r="H23" s="72" t="n">
        <f aca="false">H21+H22</f>
        <v>-83.6166666666667</v>
      </c>
      <c r="I23" s="72" t="n">
        <f aca="false">I21+I22</f>
        <v>-83.6166666666667</v>
      </c>
      <c r="J23" s="72" t="n">
        <f aca="false">J21+J22</f>
        <v>-83.6166666666667</v>
      </c>
      <c r="K23" s="72" t="n">
        <f aca="false">K21+K22</f>
        <v>-83.6166666666667</v>
      </c>
      <c r="L23" s="72" t="n">
        <f aca="false">L21+L22</f>
        <v>-83.6166666666667</v>
      </c>
      <c r="M23" s="72" t="n">
        <f aca="false">M21+M22</f>
        <v>-83.6166666666667</v>
      </c>
      <c r="N23" s="72" t="n">
        <f aca="false">N21+N22</f>
        <v>-83.6166666666667</v>
      </c>
      <c r="O23" s="73" t="n">
        <f aca="false">SUM(C23:N23)</f>
        <v>-1003.4</v>
      </c>
      <c r="P23" s="72" t="n">
        <f aca="false">P21+P22</f>
        <v>-83.6166666666667</v>
      </c>
      <c r="Q23" s="72" t="n">
        <f aca="false">Q21+Q22</f>
        <v>-83.6166666666667</v>
      </c>
      <c r="R23" s="72" t="n">
        <f aca="false">R21+R22</f>
        <v>-83.6166666666667</v>
      </c>
      <c r="S23" s="72" t="n">
        <f aca="false">S21+S22</f>
        <v>-83.6166666666667</v>
      </c>
      <c r="T23" s="72" t="n">
        <f aca="false">T21+T22</f>
        <v>-83.6166666666667</v>
      </c>
      <c r="U23" s="72" t="n">
        <f aca="false">U21+U22</f>
        <v>-83.6166666666667</v>
      </c>
      <c r="V23" s="73" t="n">
        <f aca="false">SUM(P23:U23)</f>
        <v>-501.7</v>
      </c>
      <c r="W23" s="73" t="n">
        <f aca="false">O23+V23</f>
        <v>-1505.1</v>
      </c>
    </row>
    <row r="25" customFormat="false" ht="15" hidden="false" customHeight="false" outlineLevel="0" collapsed="false">
      <c r="B25" s="56" t="s">
        <v>427</v>
      </c>
      <c r="C25" s="72" t="n">
        <f aca="false">C16+C19+C23</f>
        <v>-168.658756852064</v>
      </c>
      <c r="D25" s="72" t="n">
        <f aca="false">D16+D19+D23</f>
        <v>-1300.49875685206</v>
      </c>
      <c r="E25" s="72" t="n">
        <f aca="false">E16+E19+E23</f>
        <v>-678.418756852064</v>
      </c>
      <c r="F25" s="72" t="n">
        <f aca="false">F16+F19+F23</f>
        <v>-306.898756852064</v>
      </c>
      <c r="G25" s="72" t="n">
        <f aca="false">G16+G19+G23</f>
        <v>-121.138756852064</v>
      </c>
      <c r="H25" s="72" t="n">
        <f aca="false">H16+H19+H23</f>
        <v>81.9012431479362</v>
      </c>
      <c r="I25" s="72" t="n">
        <f aca="false">I16+I19+I23</f>
        <v>319.501243147936</v>
      </c>
      <c r="J25" s="72" t="n">
        <f aca="false">J16+J19+J23</f>
        <v>362.701243147936</v>
      </c>
      <c r="K25" s="72" t="n">
        <f aca="false">K16+K19+K23</f>
        <v>457.741243147936</v>
      </c>
      <c r="L25" s="72" t="n">
        <f aca="false">L16+L19+L23</f>
        <v>1118.70124314794</v>
      </c>
      <c r="M25" s="72" t="n">
        <f aca="false">M16+M19+M23</f>
        <v>1304.46124314794</v>
      </c>
      <c r="N25" s="72" t="n">
        <f aca="false">N16+N19+N23</f>
        <v>1485.90124314794</v>
      </c>
      <c r="O25" s="73" t="n">
        <f aca="false">SUM(C25:N25)</f>
        <v>2555.29491777523</v>
      </c>
      <c r="P25" s="72" t="n">
        <f aca="false">P16+P19+P23</f>
        <v>-59.1109403704132</v>
      </c>
      <c r="Q25" s="72" t="n">
        <f aca="false">Q16+Q19+Q23</f>
        <v>-59.1109403704132</v>
      </c>
      <c r="R25" s="72" t="n">
        <f aca="false">R16+R19+R23</f>
        <v>-59.1109403704132</v>
      </c>
      <c r="S25" s="72" t="n">
        <f aca="false">S16+S19+S23</f>
        <v>-59.1109403704132</v>
      </c>
      <c r="T25" s="72" t="n">
        <f aca="false">T16+T19+T23</f>
        <v>-59.1109403704132</v>
      </c>
      <c r="U25" s="72" t="n">
        <f aca="false">U16+U19+U23</f>
        <v>-59.1109403704132</v>
      </c>
      <c r="V25" s="73" t="n">
        <f aca="false">SUM(P25:U25)</f>
        <v>-354.665642222479</v>
      </c>
      <c r="W25" s="73" t="n">
        <f aca="false">O25+V25</f>
        <v>2200.62927555275</v>
      </c>
    </row>
    <row r="28" customFormat="false" ht="15" hidden="false" customHeight="false" outlineLevel="0" collapsed="false">
      <c r="B28" s="56" t="s">
        <v>428</v>
      </c>
      <c r="C28" s="70" t="n">
        <f aca="false">C6+C25</f>
        <v>4156.24124314794</v>
      </c>
      <c r="D28" s="70" t="n">
        <f aca="false">D6+D25</f>
        <v>2855.74248629587</v>
      </c>
      <c r="E28" s="70" t="n">
        <f aca="false">E6+E25</f>
        <v>2177.32372944381</v>
      </c>
      <c r="F28" s="70" t="n">
        <f aca="false">F6+F25</f>
        <v>1870.42497259175</v>
      </c>
      <c r="G28" s="70" t="n">
        <f aca="false">G6+G25</f>
        <v>1749.28621573968</v>
      </c>
      <c r="H28" s="70" t="n">
        <f aca="false">H6+H25</f>
        <v>1831.18745888762</v>
      </c>
      <c r="I28" s="70" t="n">
        <f aca="false">I6+I25</f>
        <v>2150.68870203555</v>
      </c>
      <c r="J28" s="70" t="n">
        <f aca="false">J6+J25</f>
        <v>2513.38994518349</v>
      </c>
      <c r="K28" s="70" t="n">
        <f aca="false">K6+K25</f>
        <v>2971.13118833142</v>
      </c>
      <c r="L28" s="70" t="n">
        <f aca="false">L6+L25</f>
        <v>4089.83243147936</v>
      </c>
      <c r="M28" s="70" t="n">
        <f aca="false">M6+M25</f>
        <v>5394.2936746273</v>
      </c>
      <c r="N28" s="70" t="n">
        <f aca="false">N6+N25</f>
        <v>6880.19491777523</v>
      </c>
      <c r="O28" s="74" t="n">
        <f aca="false">N28</f>
        <v>6880.19491777523</v>
      </c>
      <c r="P28" s="70" t="n">
        <f aca="false">P6+P25</f>
        <v>6821.08397740482</v>
      </c>
      <c r="Q28" s="70" t="n">
        <f aca="false">Q6+Q25</f>
        <v>6761.97303703441</v>
      </c>
      <c r="R28" s="70" t="n">
        <f aca="false">R6+R25</f>
        <v>6702.86209666399</v>
      </c>
      <c r="S28" s="70" t="n">
        <f aca="false">S6+S25</f>
        <v>6643.75115629358</v>
      </c>
      <c r="T28" s="70" t="n">
        <f aca="false">T6+T25</f>
        <v>6584.64021592317</v>
      </c>
      <c r="U28" s="70" t="n">
        <f aca="false">U6+U25</f>
        <v>6525.52927555275</v>
      </c>
      <c r="V28" s="74" t="n">
        <f aca="false">U28</f>
        <v>6525.52927555275</v>
      </c>
      <c r="W28" s="74" t="n">
        <f aca="false">U28</f>
        <v>6525.52927555275</v>
      </c>
    </row>
    <row r="30" customFormat="false" ht="15" hidden="false" customHeight="false" outlineLevel="0" collapsed="false">
      <c r="B30" s="56" t="s">
        <v>429</v>
      </c>
    </row>
    <row r="31" customFormat="false" ht="15" hidden="false" customHeight="false" outlineLevel="0" collapsed="false">
      <c r="B31" s="4" t="s">
        <v>430</v>
      </c>
      <c r="C31" s="60" t="n">
        <f aca="false">MIN(C28:U28)</f>
        <v>1749.28621573968</v>
      </c>
    </row>
    <row r="32" customFormat="false" ht="15" hidden="false" customHeight="false" outlineLevel="0" collapsed="false">
      <c r="B32" s="4" t="s">
        <v>431</v>
      </c>
      <c r="C32" s="57" t="n">
        <f aca="false">INDEX(C5:U5,MATCH(C31,C28:U28,0))</f>
        <v>46235</v>
      </c>
    </row>
    <row r="33" customFormat="false" ht="15" hidden="false" customHeight="false" outlineLevel="0" collapsed="false">
      <c r="B33" s="4" t="s">
        <v>432</v>
      </c>
      <c r="C33" s="75" t="n">
        <f aca="false">COUNTIF(C28:U28,"&lt;0")</f>
        <v>0</v>
      </c>
    </row>
    <row r="34" customFormat="false" ht="15" hidden="false" customHeight="false" outlineLevel="0" collapsed="false">
      <c r="B34" s="4" t="s">
        <v>433</v>
      </c>
      <c r="C34" s="60" t="n">
        <f aca="false">('Global PNL'!Q44+'Global PNL'!Q47+Assumptions!$B$34+'Global PNL'!Q58+'Global PNL'!Q12)/12</f>
        <v>3428.66021</v>
      </c>
    </row>
    <row r="35" customFormat="false" ht="15" hidden="false" customHeight="false" outlineLevel="0" collapsed="false">
      <c r="B35" s="4" t="s">
        <v>434</v>
      </c>
      <c r="C35" s="76" t="n">
        <f aca="false">IF(C34=0,0,Assumptions!$B$39/C34)</f>
        <v>1.2613965033298</v>
      </c>
    </row>
    <row r="36" customFormat="false" ht="15" hidden="false" customHeight="false" outlineLevel="0" collapsed="false">
      <c r="B36" s="4" t="s">
        <v>435</v>
      </c>
      <c r="C36" s="60" t="n">
        <f aca="false">W25</f>
        <v>2200.62927555275</v>
      </c>
    </row>
    <row r="38" customFormat="false" ht="15" hidden="false" customHeight="false" outlineLevel="0" collapsed="false">
      <c r="B38" s="1" t="s">
        <v>436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31" activeCellId="0" sqref="B31"/>
    </sheetView>
  </sheetViews>
  <sheetFormatPr defaultColWidth="8.71484375" defaultRowHeight="15" zeroHeight="false" outlineLevelRow="0" outlineLevelCol="0"/>
  <cols>
    <col collapsed="false" customWidth="true" hidden="false" outlineLevel="0" max="1" min="1" style="0" width="46"/>
    <col collapsed="false" customWidth="true" hidden="false" outlineLevel="0" max="5" min="2" style="0" width="16"/>
    <col collapsed="false" customWidth="true" hidden="false" outlineLevel="0" max="6" min="6" style="0" width="4"/>
  </cols>
  <sheetData>
    <row r="1" customFormat="false" ht="15" hidden="false" customHeight="false" outlineLevel="0" collapsed="false">
      <c r="A1" s="1" t="s">
        <v>0</v>
      </c>
    </row>
    <row r="2" customFormat="false" ht="16.5" hidden="false" customHeight="true" outlineLevel="0" collapsed="false">
      <c r="A2" s="2" t="s">
        <v>437</v>
      </c>
    </row>
    <row r="3" customFormat="false" ht="15" hidden="false" customHeight="false" outlineLevel="0" collapsed="false">
      <c r="A3" s="1" t="s">
        <v>2</v>
      </c>
    </row>
    <row r="5" customFormat="false" ht="25.5" hidden="false" customHeight="true" outlineLevel="0" collapsed="false">
      <c r="A5" s="3" t="s">
        <v>244</v>
      </c>
      <c r="B5" s="3" t="s">
        <v>438</v>
      </c>
      <c r="C5" s="3" t="s">
        <v>439</v>
      </c>
      <c r="D5" s="3" t="s">
        <v>440</v>
      </c>
      <c r="E5" s="3" t="s">
        <v>441</v>
      </c>
    </row>
    <row r="6" customFormat="false" ht="15" hidden="false" customHeight="false" outlineLevel="0" collapsed="false">
      <c r="A6" s="1" t="s">
        <v>442</v>
      </c>
      <c r="B6" s="4" t="s">
        <v>443</v>
      </c>
      <c r="C6" s="14" t="n">
        <f aca="false">Assumptions!$B$53</f>
        <v>0.05</v>
      </c>
      <c r="D6" s="14" t="n">
        <f aca="false">Assumptions!$B$54</f>
        <v>0.02</v>
      </c>
      <c r="E6" s="4" t="s">
        <v>444</v>
      </c>
    </row>
    <row r="7" customFormat="false" ht="15" hidden="false" customHeight="false" outlineLevel="0" collapsed="false">
      <c r="A7" s="4" t="s">
        <v>8</v>
      </c>
      <c r="B7" s="59" t="n">
        <f aca="false">'Global PNL'!Q11*(1-0*Assumptions!$B$53)</f>
        <v>44500</v>
      </c>
      <c r="C7" s="59" t="n">
        <f aca="false">'Global PNL'!Q11*(1-1*Assumptions!$B$53)</f>
        <v>42275</v>
      </c>
      <c r="D7" s="59" t="n">
        <f aca="false">'Global PNL'!Q11*(1-0*Assumptions!$B$53)</f>
        <v>44500</v>
      </c>
      <c r="E7" s="59" t="n">
        <f aca="false">'Global PNL'!Q11*(1-1*Assumptions!$B$53)</f>
        <v>42275</v>
      </c>
    </row>
    <row r="8" customFormat="false" ht="15" hidden="false" customHeight="false" outlineLevel="0" collapsed="false">
      <c r="A8" s="4" t="s">
        <v>343</v>
      </c>
      <c r="B8" s="59" t="n">
        <f aca="false">B7*Assumptions!$B$10</f>
        <v>1300</v>
      </c>
      <c r="C8" s="59" t="n">
        <f aca="false">C7*Assumptions!$B$10</f>
        <v>1235</v>
      </c>
      <c r="D8" s="59" t="n">
        <f aca="false">D7*Assumptions!$B$10</f>
        <v>1300</v>
      </c>
      <c r="E8" s="59" t="n">
        <f aca="false">E7*Assumptions!$B$10</f>
        <v>1235</v>
      </c>
    </row>
    <row r="9" customFormat="false" ht="15" hidden="false" customHeight="false" outlineLevel="0" collapsed="false">
      <c r="A9" s="77" t="s">
        <v>10</v>
      </c>
      <c r="B9" s="71" t="n">
        <f aca="false">B7-B8</f>
        <v>43200</v>
      </c>
      <c r="C9" s="71" t="n">
        <f aca="false">C7-C8</f>
        <v>41040</v>
      </c>
      <c r="D9" s="71" t="n">
        <f aca="false">D7-D8</f>
        <v>43200</v>
      </c>
      <c r="E9" s="71" t="n">
        <f aca="false">E7-E8</f>
        <v>41040</v>
      </c>
    </row>
    <row r="10" customFormat="false" ht="15" hidden="false" customHeight="false" outlineLevel="0" collapsed="false">
      <c r="A10" s="4" t="s">
        <v>11</v>
      </c>
      <c r="B10" s="59" t="n">
        <f aca="false">'Global PNL'!Q44*(1+0*Assumptions!$B$54)</f>
        <v>36525</v>
      </c>
      <c r="C10" s="59" t="n">
        <f aca="false">'Global PNL'!Q44*(1+0*Assumptions!$B$54)</f>
        <v>36525</v>
      </c>
      <c r="D10" s="59" t="n">
        <f aca="false">'Global PNL'!Q44*(1+1*Assumptions!$B$54)</f>
        <v>37255.5</v>
      </c>
      <c r="E10" s="59" t="n">
        <f aca="false">'Global PNL'!Q44*(1+1*Assumptions!$B$54)</f>
        <v>37255.5</v>
      </c>
    </row>
    <row r="11" customFormat="false" ht="15" hidden="false" customHeight="false" outlineLevel="0" collapsed="false">
      <c r="A11" s="4" t="s">
        <v>13</v>
      </c>
      <c r="B11" s="59" t="n">
        <f aca="false">B7*Assumptions!$B$17</f>
        <v>1335</v>
      </c>
      <c r="C11" s="59" t="n">
        <f aca="false">C7*Assumptions!$B$17</f>
        <v>1268.25</v>
      </c>
      <c r="D11" s="59" t="n">
        <f aca="false">D7*Assumptions!$B$17</f>
        <v>1335</v>
      </c>
      <c r="E11" s="59" t="n">
        <f aca="false">E7*Assumptions!$B$17</f>
        <v>1268.25</v>
      </c>
    </row>
    <row r="12" customFormat="false" ht="15" hidden="false" customHeight="false" outlineLevel="0" collapsed="false">
      <c r="A12" s="77" t="s">
        <v>445</v>
      </c>
      <c r="B12" s="71" t="n">
        <f aca="false">B9-B10-B11</f>
        <v>5340.00000000001</v>
      </c>
      <c r="C12" s="71" t="n">
        <f aca="false">C9-C10-C11</f>
        <v>3246.75000000001</v>
      </c>
      <c r="D12" s="71" t="n">
        <f aca="false">D9-D10-D11</f>
        <v>4609.50000000001</v>
      </c>
      <c r="E12" s="71" t="n">
        <f aca="false">E9-E10-E11</f>
        <v>2516.25000000001</v>
      </c>
    </row>
    <row r="13" customFormat="false" ht="15" hidden="false" customHeight="false" outlineLevel="0" collapsed="false">
      <c r="A13" s="4" t="s">
        <v>15</v>
      </c>
      <c r="B13" s="6" t="n">
        <f aca="false">IF(B7=0,0,B12/B7)</f>
        <v>0.12</v>
      </c>
      <c r="C13" s="6" t="n">
        <f aca="false">IF(C7=0,0,C12/C7)</f>
        <v>0.0768007096392669</v>
      </c>
      <c r="D13" s="6" t="n">
        <f aca="false">IF(D7=0,0,D12/D7)</f>
        <v>0.103584269662922</v>
      </c>
      <c r="E13" s="6" t="n">
        <f aca="false">IF(E7=0,0,E12/E7)</f>
        <v>0.0595209934949736</v>
      </c>
    </row>
    <row r="14" customFormat="false" ht="15" hidden="false" customHeight="false" outlineLevel="0" collapsed="false">
      <c r="A14" s="4" t="s">
        <v>415</v>
      </c>
      <c r="B14" s="59" t="n">
        <f aca="false">Assumptions!$B$27</f>
        <v>274.8</v>
      </c>
      <c r="C14" s="59" t="n">
        <f aca="false">Assumptions!$B$27</f>
        <v>274.8</v>
      </c>
      <c r="D14" s="59" t="n">
        <f aca="false">Assumptions!$B$27</f>
        <v>274.8</v>
      </c>
      <c r="E14" s="59" t="n">
        <f aca="false">Assumptions!$B$27</f>
        <v>274.8</v>
      </c>
    </row>
    <row r="15" customFormat="false" ht="15" hidden="false" customHeight="false" outlineLevel="0" collapsed="false">
      <c r="A15" s="4" t="s">
        <v>446</v>
      </c>
      <c r="B15" s="59" t="n">
        <f aca="false">Assumptions!$B$28</f>
        <v>1447</v>
      </c>
      <c r="C15" s="59" t="n">
        <f aca="false">Assumptions!$B$28</f>
        <v>1447</v>
      </c>
      <c r="D15" s="59" t="n">
        <f aca="false">Assumptions!$B$28</f>
        <v>1447</v>
      </c>
      <c r="E15" s="59" t="n">
        <f aca="false">Assumptions!$B$28</f>
        <v>1447</v>
      </c>
    </row>
    <row r="16" customFormat="false" ht="15" hidden="false" customHeight="false" outlineLevel="0" collapsed="false">
      <c r="A16" s="4" t="s">
        <v>447</v>
      </c>
      <c r="B16" s="59" t="n">
        <f aca="false">Assumptions!$B$29</f>
        <v>272.2</v>
      </c>
      <c r="C16" s="59" t="n">
        <f aca="false">Assumptions!$B$29</f>
        <v>272.2</v>
      </c>
      <c r="D16" s="59" t="n">
        <f aca="false">Assumptions!$B$29</f>
        <v>272.2</v>
      </c>
      <c r="E16" s="59" t="n">
        <f aca="false">Assumptions!$B$29</f>
        <v>272.2</v>
      </c>
    </row>
    <row r="17" customFormat="false" ht="15" hidden="false" customHeight="false" outlineLevel="0" collapsed="false">
      <c r="A17" s="77" t="s">
        <v>448</v>
      </c>
      <c r="B17" s="71" t="n">
        <f aca="false">B12+B14-B15-B16</f>
        <v>3895.60000000001</v>
      </c>
      <c r="C17" s="71" t="n">
        <f aca="false">C12+C14-C15-C16</f>
        <v>1802.35000000001</v>
      </c>
      <c r="D17" s="71" t="n">
        <f aca="false">D12+D14-D15-D16</f>
        <v>3165.10000000001</v>
      </c>
      <c r="E17" s="71" t="n">
        <f aca="false">E12+E14-E15-E16</f>
        <v>1071.85000000001</v>
      </c>
    </row>
    <row r="18" customFormat="false" ht="15" hidden="false" customHeight="false" outlineLevel="0" collapsed="false">
      <c r="A18" s="4" t="s">
        <v>449</v>
      </c>
      <c r="B18" s="59" t="n">
        <f aca="false">MAX(0,B17)*Assumptions!$B$30</f>
        <v>980.522520000002</v>
      </c>
      <c r="C18" s="59" t="n">
        <f aca="false">MAX(0,C17)*Assumptions!$B$30</f>
        <v>453.651495000002</v>
      </c>
      <c r="D18" s="59" t="n">
        <f aca="false">MAX(0,D17)*Assumptions!$B$30</f>
        <v>796.655670000002</v>
      </c>
      <c r="E18" s="59" t="n">
        <f aca="false">MAX(0,E17)*Assumptions!$B$30</f>
        <v>269.784645000002</v>
      </c>
    </row>
    <row r="19" customFormat="false" ht="15" hidden="false" customHeight="false" outlineLevel="0" collapsed="false">
      <c r="A19" s="77" t="s">
        <v>450</v>
      </c>
      <c r="B19" s="71" t="n">
        <f aca="false">B17-B18</f>
        <v>2915.07748000001</v>
      </c>
      <c r="C19" s="71" t="n">
        <f aca="false">C17-C18</f>
        <v>1348.69850500001</v>
      </c>
      <c r="D19" s="71" t="n">
        <f aca="false">D17-D18</f>
        <v>2368.44433000001</v>
      </c>
      <c r="E19" s="71" t="n">
        <f aca="false">E17-E18</f>
        <v>802.065355000006</v>
      </c>
    </row>
    <row r="20" customFormat="false" ht="15" hidden="false" customHeight="false" outlineLevel="0" collapsed="false">
      <c r="A20" s="4" t="s">
        <v>451</v>
      </c>
      <c r="B20" s="59" t="n">
        <f aca="false">B15+B16</f>
        <v>1719.2</v>
      </c>
      <c r="C20" s="59" t="n">
        <f aca="false">C15+C16</f>
        <v>1719.2</v>
      </c>
      <c r="D20" s="59" t="n">
        <f aca="false">D15+D16</f>
        <v>1719.2</v>
      </c>
      <c r="E20" s="59" t="n">
        <f aca="false">E15+E16</f>
        <v>1719.2</v>
      </c>
    </row>
    <row r="21" customFormat="false" ht="15" hidden="false" customHeight="false" outlineLevel="0" collapsed="false">
      <c r="A21" s="4" t="s">
        <v>452</v>
      </c>
      <c r="B21" s="59" t="n">
        <f aca="false">'Working Capital'!$G$16</f>
        <v>-775.582562224771</v>
      </c>
      <c r="C21" s="59" t="n">
        <f aca="false">'Working Capital'!$G$16</f>
        <v>-775.582562224771</v>
      </c>
      <c r="D21" s="59" t="n">
        <f aca="false">'Working Capital'!$G$16</f>
        <v>-775.582562224771</v>
      </c>
      <c r="E21" s="59" t="n">
        <f aca="false">'Working Capital'!$G$16</f>
        <v>-775.582562224771</v>
      </c>
    </row>
    <row r="22" customFormat="false" ht="15" hidden="false" customHeight="false" outlineLevel="0" collapsed="false">
      <c r="A22" s="4" t="s">
        <v>453</v>
      </c>
      <c r="B22" s="59" t="n">
        <f aca="false">-Assumptions!$B$33</f>
        <v>-300</v>
      </c>
      <c r="C22" s="59" t="n">
        <f aca="false">-Assumptions!$B$33</f>
        <v>-300</v>
      </c>
      <c r="D22" s="59" t="n">
        <f aca="false">-Assumptions!$B$33</f>
        <v>-300</v>
      </c>
      <c r="E22" s="59" t="n">
        <f aca="false">-Assumptions!$B$33</f>
        <v>-300</v>
      </c>
    </row>
    <row r="23" customFormat="false" ht="15" hidden="false" customHeight="false" outlineLevel="0" collapsed="false">
      <c r="A23" s="4" t="s">
        <v>454</v>
      </c>
      <c r="B23" s="59" t="n">
        <f aca="false">-Assumptions!$B$34</f>
        <v>-1003.4</v>
      </c>
      <c r="C23" s="59" t="n">
        <f aca="false">-Assumptions!$B$34</f>
        <v>-1003.4</v>
      </c>
      <c r="D23" s="59" t="n">
        <f aca="false">-Assumptions!$B$34</f>
        <v>-1003.4</v>
      </c>
      <c r="E23" s="59" t="n">
        <f aca="false">-Assumptions!$B$34</f>
        <v>-1003.4</v>
      </c>
    </row>
    <row r="24" customFormat="false" ht="15" hidden="false" customHeight="false" outlineLevel="0" collapsed="false">
      <c r="A24" s="77" t="s">
        <v>455</v>
      </c>
      <c r="B24" s="71" t="n">
        <f aca="false">SUM(B19:B23)</f>
        <v>2555.29491777524</v>
      </c>
      <c r="C24" s="71" t="n">
        <f aca="false">SUM(C19:C23)</f>
        <v>988.915942775235</v>
      </c>
      <c r="D24" s="71" t="n">
        <f aca="false">SUM(D19:D23)</f>
        <v>2008.66176777524</v>
      </c>
      <c r="E24" s="71" t="n">
        <f aca="false">SUM(E19:E23)</f>
        <v>442.282792775235</v>
      </c>
    </row>
    <row r="25" customFormat="false" ht="15" hidden="false" customHeight="false" outlineLevel="0" collapsed="false">
      <c r="A25" s="4" t="s">
        <v>456</v>
      </c>
      <c r="B25" s="59" t="n">
        <f aca="false">Assumptions!$B$39</f>
        <v>4324.9</v>
      </c>
      <c r="C25" s="59" t="n">
        <f aca="false">Assumptions!$B$39</f>
        <v>4324.9</v>
      </c>
      <c r="D25" s="59" t="n">
        <f aca="false">Assumptions!$B$39</f>
        <v>4324.9</v>
      </c>
      <c r="E25" s="59" t="n">
        <f aca="false">Assumptions!$B$39</f>
        <v>4324.9</v>
      </c>
    </row>
    <row r="26" customFormat="false" ht="15" hidden="false" customHeight="false" outlineLevel="0" collapsed="false">
      <c r="A26" s="77" t="s">
        <v>457</v>
      </c>
      <c r="B26" s="71" t="n">
        <f aca="false">B24+B25</f>
        <v>6880.19491777524</v>
      </c>
      <c r="C26" s="71" t="n">
        <f aca="false">C24+C25</f>
        <v>5313.81594277523</v>
      </c>
      <c r="D26" s="71" t="n">
        <f aca="false">D24+D25</f>
        <v>6333.56176777524</v>
      </c>
      <c r="E26" s="71" t="n">
        <f aca="false">E24+E25</f>
        <v>4767.18279277524</v>
      </c>
    </row>
    <row r="27" customFormat="false" ht="15" hidden="false" customHeight="false" outlineLevel="0" collapsed="false">
      <c r="A27" s="4" t="s">
        <v>458</v>
      </c>
      <c r="B27" s="6" t="n">
        <f aca="false">IF($B$26=0,0,B26/$B$26)</f>
        <v>1</v>
      </c>
      <c r="C27" s="6" t="n">
        <f aca="false">IF($B$26=0,0,C26/$B$26)</f>
        <v>0.772335087345679</v>
      </c>
      <c r="D27" s="6" t="n">
        <f aca="false">IF($B$26=0,0,D26/$B$26)</f>
        <v>0.920549758177962</v>
      </c>
      <c r="E27" s="6" t="n">
        <f aca="false">IF($B$26=0,0,E26/$B$26)</f>
        <v>0.692884845523641</v>
      </c>
    </row>
    <row r="28" customFormat="false" ht="15" hidden="false" customHeight="false" outlineLevel="0" collapsed="false">
      <c r="A28" s="1" t="s">
        <v>459</v>
      </c>
      <c r="B28" s="59" t="n">
        <f aca="false">ROUND(B26-'Global Cashflow'!O28,2)</f>
        <v>0</v>
      </c>
    </row>
    <row r="29" customFormat="false" ht="15" hidden="false" customHeight="false" outlineLevel="0" collapsed="false">
      <c r="A29" s="56" t="s">
        <v>460</v>
      </c>
    </row>
    <row r="30" customFormat="false" ht="15" hidden="false" customHeight="false" outlineLevel="0" collapsed="false">
      <c r="A30" s="4" t="s">
        <v>461</v>
      </c>
      <c r="B30" s="10" t="n">
        <f aca="false">IF(B7*(1-Assumptions!$B$10-Assumptions!$B$17)=0,0,B12/(B7*(1-Assumptions!$B$10-Assumptions!$B$17)))</f>
        <v>0.127552848441419</v>
      </c>
    </row>
    <row r="31" customFormat="false" ht="15" hidden="false" customHeight="false" outlineLevel="0" collapsed="false">
      <c r="A31" s="4" t="s">
        <v>462</v>
      </c>
      <c r="B31" s="10" t="n">
        <f aca="false">IF(B7*(1-Assumptions!$B$10-Assumptions!$B$17)=0,0,B26/(B7*(1-Assumptions!$B$10-Assumptions!$B$17)))</f>
        <v>0.164342408163746</v>
      </c>
    </row>
    <row r="33" customFormat="false" ht="15" hidden="false" customHeight="false" outlineLevel="0" collapsed="false">
      <c r="A33" s="1" t="s">
        <v>463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0"/>
    <col collapsed="false" customWidth="true" hidden="false" outlineLevel="0" max="4" min="2" style="0" width="14"/>
    <col collapsed="false" customWidth="true" hidden="false" outlineLevel="0" max="5" min="5" style="0" width="16"/>
    <col collapsed="false" customWidth="true" hidden="false" outlineLevel="0" max="6" min="6" style="0" width="18"/>
    <col collapsed="false" customWidth="true" hidden="false" outlineLevel="0" max="7" min="7" style="0" width="4"/>
  </cols>
  <sheetData>
    <row r="1" customFormat="false" ht="15" hidden="false" customHeight="false" outlineLevel="0" collapsed="false">
      <c r="A1" s="1" t="s">
        <v>0</v>
      </c>
    </row>
    <row r="2" customFormat="false" ht="16.5" hidden="false" customHeight="true" outlineLevel="0" collapsed="false">
      <c r="A2" s="2" t="s">
        <v>464</v>
      </c>
    </row>
    <row r="3" customFormat="false" ht="15" hidden="false" customHeight="false" outlineLevel="0" collapsed="false">
      <c r="A3" s="1" t="s">
        <v>2</v>
      </c>
    </row>
    <row r="5" customFormat="false" ht="30" hidden="false" customHeight="true" outlineLevel="0" collapsed="false">
      <c r="A5" s="3" t="s">
        <v>3</v>
      </c>
      <c r="B5" s="3" t="s">
        <v>465</v>
      </c>
      <c r="C5" s="3" t="s">
        <v>466</v>
      </c>
      <c r="D5" s="3" t="s">
        <v>4</v>
      </c>
      <c r="E5" s="3" t="s">
        <v>5</v>
      </c>
      <c r="F5" s="3" t="s">
        <v>467</v>
      </c>
    </row>
    <row r="6" customFormat="false" ht="15" hidden="false" customHeight="false" outlineLevel="0" collapsed="false">
      <c r="A6" s="56" t="s">
        <v>468</v>
      </c>
      <c r="B6" s="78" t="n">
        <v>38559</v>
      </c>
      <c r="C6" s="60" t="n">
        <f aca="false">'FY26 Actual'!F41</f>
        <v>40111.3</v>
      </c>
      <c r="D6" s="60" t="n">
        <f aca="false">'Global PNL'!C13</f>
        <v>37981</v>
      </c>
      <c r="E6" s="60" t="n">
        <f aca="false">'Global PNL'!Q13</f>
        <v>43200</v>
      </c>
      <c r="F6" s="60" t="n">
        <f aca="false">'Global PNL'!AC13</f>
        <v>47520</v>
      </c>
    </row>
    <row r="7" customFormat="false" ht="15" hidden="false" customHeight="false" outlineLevel="0" collapsed="false">
      <c r="A7" s="4" t="s">
        <v>469</v>
      </c>
      <c r="C7" s="6" t="n">
        <f aca="false">IF(B6=0,0,C6/B6-1)</f>
        <v>0.0402577867683291</v>
      </c>
      <c r="D7" s="6" t="n">
        <f aca="false">IF(C6=0,0,D6/C6-1)</f>
        <v>-0.0531097221979842</v>
      </c>
      <c r="E7" s="6" t="n">
        <f aca="false">IF(D6=0,0,E6/D6-1)</f>
        <v>0.137410810668492</v>
      </c>
      <c r="F7" s="6" t="n">
        <f aca="false">IF(E6=0,0,F6/E6-1)</f>
        <v>0.1</v>
      </c>
    </row>
    <row r="8" customFormat="false" ht="15" hidden="false" customHeight="false" outlineLevel="0" collapsed="false">
      <c r="A8" s="56" t="s">
        <v>470</v>
      </c>
      <c r="B8" s="78" t="n">
        <v>2339.9</v>
      </c>
      <c r="C8" s="60" t="n">
        <f aca="false">'FY26 Actual'!F44+'FY26 Actual'!F14+'FY26 Actual'!F13-'FY26 Actual'!F8+'FY26 Actual'!F39</f>
        <v>3221.9</v>
      </c>
      <c r="D8" s="60" t="n">
        <f aca="false">'Global PNL'!C48</f>
        <v>-2619</v>
      </c>
      <c r="E8" s="60" t="n">
        <f aca="false">'Global PNL'!Q48</f>
        <v>5340.00000000001</v>
      </c>
      <c r="F8" s="60" t="n">
        <f aca="false">'Global PNL'!AC48</f>
        <v>5874.00000000001</v>
      </c>
    </row>
    <row r="9" customFormat="false" ht="15" hidden="false" customHeight="false" outlineLevel="0" collapsed="false">
      <c r="A9" s="4" t="s">
        <v>471</v>
      </c>
      <c r="B9" s="6" t="n">
        <f aca="false">IF(B6=0,0,B8/B6)</f>
        <v>0.06068362768744</v>
      </c>
      <c r="C9" s="6" t="n">
        <f aca="false">IF(C6=0,0,C8/C6)</f>
        <v>0.0803239984742455</v>
      </c>
      <c r="D9" s="6" t="n">
        <f aca="false">IF(D6=0,0,D8/D6)</f>
        <v>-0.0689555303967775</v>
      </c>
      <c r="E9" s="6" t="n">
        <f aca="false">IF(E6=0,0,E8/E6)</f>
        <v>0.123611111111111</v>
      </c>
      <c r="F9" s="6" t="n">
        <f aca="false">IF(F6=0,0,F8/F6)</f>
        <v>0.123611111111111</v>
      </c>
    </row>
    <row r="10" customFormat="false" ht="15" hidden="false" customHeight="false" outlineLevel="0" collapsed="false">
      <c r="A10" s="4" t="s">
        <v>472</v>
      </c>
      <c r="C10" s="6" t="n">
        <f aca="false">IF(B8=0,0,(C8-B8)/ABS(B8))</f>
        <v>0.376939185435277</v>
      </c>
      <c r="D10" s="6" t="n">
        <f aca="false">IF(C8=0,0,(D8-C8)/ABS(C8))</f>
        <v>-1.81287439088736</v>
      </c>
      <c r="E10" s="6" t="n">
        <f aca="false">IF(D8=0,0,(E8-D8)/ABS(D8))</f>
        <v>3.0389461626575</v>
      </c>
      <c r="F10" s="6" t="n">
        <f aca="false">IF(E8=0,0,(F8-E8)/ABS(E8))</f>
        <v>0.0999999999999999</v>
      </c>
    </row>
    <row r="11" customFormat="false" ht="15" hidden="false" customHeight="false" outlineLevel="0" collapsed="false">
      <c r="A11" s="4" t="s">
        <v>13</v>
      </c>
      <c r="B11" s="59" t="s">
        <v>473</v>
      </c>
      <c r="C11" s="59" t="n">
        <f aca="false">'FY26 Actual'!F31+'FY26 Actual'!F32+'FY26 Actual'!F33+'FY26 Actual'!F34</f>
        <v>1598.1</v>
      </c>
      <c r="D11" s="59" t="n">
        <f aca="false">'Global PNL'!C47</f>
        <v>3647.3</v>
      </c>
      <c r="E11" s="59" t="n">
        <f aca="false">'Global PNL'!Q47</f>
        <v>1335</v>
      </c>
      <c r="F11" s="59" t="n">
        <f aca="false">'Global PNL'!AC47</f>
        <v>1468.5</v>
      </c>
    </row>
    <row r="12" customFormat="false" ht="15" hidden="false" customHeight="false" outlineLevel="0" collapsed="false">
      <c r="A12" s="4" t="s">
        <v>12</v>
      </c>
      <c r="B12" s="59" t="s">
        <v>473</v>
      </c>
      <c r="C12" s="59" t="n">
        <f aca="false">C8+C11</f>
        <v>4820.00000000001</v>
      </c>
      <c r="D12" s="59" t="n">
        <f aca="false">D8+D11</f>
        <v>1028.3</v>
      </c>
      <c r="E12" s="59" t="n">
        <f aca="false">E8+E11</f>
        <v>6675.00000000001</v>
      </c>
      <c r="F12" s="59" t="n">
        <f aca="false">F8+F11</f>
        <v>7342.50000000001</v>
      </c>
    </row>
    <row r="14" customFormat="false" ht="15" hidden="false" customHeight="false" outlineLevel="0" collapsed="false">
      <c r="A14" s="56" t="s">
        <v>382</v>
      </c>
    </row>
    <row r="15" customFormat="false" ht="15" hidden="false" customHeight="false" outlineLevel="0" collapsed="false">
      <c r="A15" s="1" t="s">
        <v>474</v>
      </c>
    </row>
    <row r="16" customFormat="false" ht="15" hidden="false" customHeight="false" outlineLevel="0" collapsed="false">
      <c r="A16" s="1" t="s">
        <v>475</v>
      </c>
    </row>
    <row r="17" customFormat="false" ht="15" hidden="false" customHeight="false" outlineLevel="0" collapsed="false">
      <c r="A17" s="1" t="s">
        <v>476</v>
      </c>
    </row>
    <row r="18" customFormat="false" ht="15" hidden="false" customHeight="false" outlineLevel="0" collapsed="false">
      <c r="A18" s="1" t="s">
        <v>477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2026-09-24T12:22:31Z</dcterms:created>
  <dc:creator>openpyxl</dc:creator>
  <dc:description/>
  <dc:language>en-US</dc:language>
  <cp:lastModifiedBy>Kankesh Kamath</cp:lastModifiedBy>
  <dcterms:modified xsi:type="dcterms:W3CDTF">2026-10-22T17:03:10Z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