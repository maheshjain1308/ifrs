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OC" sheetId="2" state="visible" r:id="rId4"/>
    <sheet name="Instructions" sheetId="3" state="visible" r:id="rId5"/>
    <sheet name="Checks" sheetId="4" state="visible" r:id="rId6"/>
    <sheet name="Error_Log" sheetId="5" state="visible" r:id="rId7"/>
    <sheet name="Hist_IS" sheetId="6" state="visible" r:id="rId8"/>
    <sheet name="Hist_BS" sheetId="7" state="visible" r:id="rId9"/>
    <sheet name="Hist_CF" sheetId="8" state="visible" r:id="rId10"/>
    <sheet name="Assumptions" sheetId="9" state="visible" r:id="rId11"/>
    <sheet name="Revenue_Build" sheetId="10" state="visible" r:id="rId12"/>
    <sheet name="Cost_Schedule" sheetId="11" state="visible" r:id="rId13"/>
    <sheet name="WC_Schedule" sheetId="12" state="visible" r:id="rId14"/>
    <sheet name="Capex_Dep" sheetId="13" state="visible" r:id="rId15"/>
    <sheet name="Debt_Schedule" sheetId="14" state="visible" r:id="rId16"/>
    <sheet name="Equity_Schedule" sheetId="15" state="visible" r:id="rId17"/>
    <sheet name="Income_Statement" sheetId="16" state="visible" r:id="rId18"/>
    <sheet name="Balance_Sheet" sheetId="17" state="visible" r:id="rId19"/>
    <sheet name="Cash_Flow" sheetId="18" state="visible" r:id="rId20"/>
    <sheet name="Ratios" sheetId="19" state="visible" r:id="rId21"/>
    <sheet name="Market_Data" sheetId="20" state="visible" r:id="rId22"/>
    <sheet name="WACC" sheetId="21" state="visible" r:id="rId23"/>
    <sheet name="DCF" sheetId="22" state="visible" r:id="rId24"/>
    <sheet name="Relative_Valuation" sheetId="23" state="visible" r:id="rId25"/>
    <sheet name="Peer_Multiples" sheetId="24" state="visible" r:id="rId26"/>
    <sheet name="SoTP" sheetId="25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<sst xmlns="http://schemas.openxmlformats.org/spreadsheetml/2006/main" count="1551" uniqueCount="1060">
  <si>
    <t xml:space="preserve">VOLTAS LIMITED</t>
  </si>
  <si>
    <t xml:space="preserve">Integrated Financial Model, DCF, Multiples &amp; SoTP Valuation</t>
  </si>
  <si>
    <t xml:space="preserve">MODEL INFORMATION</t>
  </si>
  <si>
    <t xml:space="preserve">Company Name</t>
  </si>
  <si>
    <t xml:space="preserve">Voltas Limited</t>
  </si>
  <si>
    <t xml:space="preserve">NSE Ticker</t>
  </si>
  <si>
    <t xml:space="preserve">VOLTAS</t>
  </si>
  <si>
    <t xml:space="preserve">BSE Code</t>
  </si>
  <si>
    <t xml:space="preserve">500575</t>
  </si>
  <si>
    <t xml:space="preserve">Industry</t>
  </si>
  <si>
    <t xml:space="preserve">Consumer Durables - Air Conditioning, Cooling &amp; Engineering Projects</t>
  </si>
  <si>
    <t xml:space="preserve">Sector</t>
  </si>
  <si>
    <t xml:space="preserve">Tata Group</t>
  </si>
  <si>
    <t xml:space="preserve">Date of Valuation</t>
  </si>
  <si>
    <t xml:space="preserve">19-Oct-2026</t>
  </si>
  <si>
    <t xml:space="preserve">Currency</t>
  </si>
  <si>
    <t xml:space="preserve">INR (Rs Crore, unless stated)</t>
  </si>
  <si>
    <t xml:space="preserve">FY Ending</t>
  </si>
  <si>
    <t xml:space="preserve">31-March</t>
  </si>
  <si>
    <t xml:space="preserve">Model Type</t>
  </si>
  <si>
    <t xml:space="preserve">Three-Statement Model + DCF + Relative Valuation + SoTP</t>
  </si>
  <si>
    <t xml:space="preserve">Scenario (Live)</t>
  </si>
  <si>
    <t xml:space="preserve">Base case</t>
  </si>
  <si>
    <t xml:space="preserve">SEGMENT OVERVIEW (Voltas Ltd. Reporting Segments)</t>
  </si>
  <si>
    <t xml:space="preserve">1. Unitary Cooling Products (Room Air Conditioners &amp; Coolers) - RAC</t>
  </si>
  <si>
    <t xml:space="preserve">2. Electro-Mechanical Projects &amp; Services (EMPS) - Institutional &amp; Government Projects</t>
  </si>
  <si>
    <t xml:space="preserve">3. Engineering Products &amp; Services (Mining &amp; Construction Equipment, Water Management, Textile Machinery)</t>
  </si>
  <si>
    <t xml:space="preserve">4. International Operations (Middle East, Africa, Southeast Asia - Electro-Mechanical Projects)</t>
  </si>
  <si>
    <t xml:space="preserve">WORKBOOK STATUS</t>
  </si>
  <si>
    <t xml:space="preserve">This workbook rebuilds the 21-page Voltas model report in Excel with live formulas (inputs in blue, formulas in black, cross-sheet links in green).</t>
  </si>
  <si>
    <t xml:space="preserve">Sheet "Checks" holds integrity checks and a tie-out of rebuilt outputs to the published report; sheet "Error_Log" lists the errors found in the published model and their valuation impact.</t>
  </si>
  <si>
    <t xml:space="preserve">Published figures are replicated first (including the errors); corrected values are shown alongside on DCF, Relative_Valuation and SoTP.</t>
  </si>
  <si>
    <t xml:space="preserve">Small (+/-1-4 Rs Cr) differences vs the report arise because the report displays rounded historical inputs; these are within the tolerances on the Checks sheet.</t>
  </si>
  <si>
    <t xml:space="preserve">TABLE OF CONTENTS</t>
  </si>
  <si>
    <t xml:space="preserve">#</t>
  </si>
  <si>
    <t xml:space="preserve">Worksheet</t>
  </si>
  <si>
    <t xml:space="preserve">Description</t>
  </si>
  <si>
    <t xml:space="preserve">Cover</t>
  </si>
  <si>
    <t xml:space="preserve">Company &amp; model information</t>
  </si>
  <si>
    <t xml:space="preserve">TOC</t>
  </si>
  <si>
    <t xml:space="preserve">This page</t>
  </si>
  <si>
    <t xml:space="preserve">Instructions</t>
  </si>
  <si>
    <t xml:space="preserve">Formatting conventions &amp; how to use this model</t>
  </si>
  <si>
    <t xml:space="preserve">Checks</t>
  </si>
  <si>
    <t xml:space="preserve">Integrity checks and tie-out to the published report (added)</t>
  </si>
  <si>
    <t xml:space="preserve">Error_Log</t>
  </si>
  <si>
    <t xml:space="preserve">Errors found in the published model and valuation impact (added)</t>
  </si>
  <si>
    <t xml:space="preserve">Hist_IS</t>
  </si>
  <si>
    <t xml:space="preserve">Historical Income Statement (FY23A-FY26A) &amp; common-size</t>
  </si>
  <si>
    <t xml:space="preserve">Hist_BS</t>
  </si>
  <si>
    <t xml:space="preserve">Historical Balance Sheet (FY23A-FY26A)</t>
  </si>
  <si>
    <t xml:space="preserve">Hist_CF</t>
  </si>
  <si>
    <t xml:space="preserve">Historical Cash Flow Statement (FY23A-FY26A)</t>
  </si>
  <si>
    <t xml:space="preserve">Assumptions</t>
  </si>
  <si>
    <t xml:space="preserve">Master assumptions - macro, segment drivers, margins</t>
  </si>
  <si>
    <t xml:space="preserve">Revenue_Build</t>
  </si>
  <si>
    <t xml:space="preserve">Segment-wise revenue build-up (Volume x ASP)</t>
  </si>
  <si>
    <t xml:space="preserve">Cost_Schedule</t>
  </si>
  <si>
    <t xml:space="preserve">Operating cost driver schedule</t>
  </si>
  <si>
    <t xml:space="preserve">WC_Schedule</t>
  </si>
  <si>
    <t xml:space="preserve">Working capital schedule (days-based)</t>
  </si>
  <si>
    <t xml:space="preserve">Capex_Dep</t>
  </si>
  <si>
    <t xml:space="preserve">Capex &amp; depreciation schedule</t>
  </si>
  <si>
    <t xml:space="preserve">Debt_Schedule</t>
  </si>
  <si>
    <t xml:space="preserve">Debt schedule - LT debt, ST borrowings, leases</t>
  </si>
  <si>
    <t xml:space="preserve">Equity_Schedule</t>
  </si>
  <si>
    <t xml:space="preserve">Equity, share capital &amp; dividend schedule</t>
  </si>
  <si>
    <t xml:space="preserve">Income_Statement</t>
  </si>
  <si>
    <t xml:space="preserve">Integrated Income Statement (Hist + 5-yr Forecast)</t>
  </si>
  <si>
    <t xml:space="preserve">Balance_Sheet</t>
  </si>
  <si>
    <t xml:space="preserve">Integrated Balance Sheet with balance check</t>
  </si>
  <si>
    <t xml:space="preserve">Cash_Flow</t>
  </si>
  <si>
    <t xml:space="preserve">Cash Flow Statement (Indirect) + FCFF/FCFE</t>
  </si>
  <si>
    <t xml:space="preserve">Ratios</t>
  </si>
  <si>
    <t xml:space="preserve">Ratio analysis - profitability, liquidity, efficiency, leverage, valuation</t>
  </si>
  <si>
    <t xml:space="preserve">Market_Data</t>
  </si>
  <si>
    <t xml:space="preserve">Peer market data &amp; weekly price history (inputs to beta)</t>
  </si>
  <si>
    <t xml:space="preserve">WACC</t>
  </si>
  <si>
    <t xml:space="preserve">Peer betas, cost of equity, cost of debt, WACC</t>
  </si>
  <si>
    <t xml:space="preserve">DCF</t>
  </si>
  <si>
    <t xml:space="preserve">DCF valuation - FCFF, terminal value, intrinsic value per share</t>
  </si>
  <si>
    <t xml:space="preserve">Relative_Valuation</t>
  </si>
  <si>
    <t xml:space="preserve">Trading-multiples valuation (EV/Revenue, EV/EBITDA, P/E)</t>
  </si>
  <si>
    <t xml:space="preserve">Peer_Multiples</t>
  </si>
  <si>
    <t xml:space="preserve">Peer multiples used to set segment multiples for SoTP</t>
  </si>
  <si>
    <t xml:space="preserve">SoTP</t>
  </si>
  <si>
    <t xml:space="preserve">Sum-of-the-Parts valuation with scenarios &amp; sensitivities</t>
  </si>
  <si>
    <t xml:space="preserve">INSTRUCTIONS - FORMATTING CONVENTIONS &amp; HOW TO USE THIS MODEL</t>
  </si>
  <si>
    <t xml:space="preserve">Item</t>
  </si>
  <si>
    <t xml:space="preserve">Blue font</t>
  </si>
  <si>
    <t xml:space="preserve">Hard-coded input taken from the published report (historical data, assumptions, peer data).</t>
  </si>
  <si>
    <t xml:space="preserve">Blue font on peach fill</t>
  </si>
  <si>
    <t xml:space="preserve">Forecast / valuation assumption that can be changed (yellow-peach cells). Changing these flows through all sheets.</t>
  </si>
  <si>
    <t xml:space="preserve">Black font</t>
  </si>
  <si>
    <t xml:space="preserve">Formula on the same sheet.</t>
  </si>
  <si>
    <t xml:space="preserve">Green font</t>
  </si>
  <si>
    <t xml:space="preserve">Formula linking to another sheet.</t>
  </si>
  <si>
    <t xml:space="preserve">Units</t>
  </si>
  <si>
    <t xml:space="preserve">INR Crore unless stated; shares in crore; per-share values in Rs.</t>
  </si>
  <si>
    <t xml:space="preserve">Timeline</t>
  </si>
  <si>
    <t xml:space="preserve">Columns C-F = Mar-23A to Mar-26A (historical); columns G-K = Mar-27E to Mar-31E (forecast) on every time-series sheet.</t>
  </si>
  <si>
    <t xml:space="preserve">Flow of the model</t>
  </si>
  <si>
    <t xml:space="preserve">Assumptions -&gt; Revenue_Build -&gt; Cost_Schedule -&gt; WC_Schedule / Capex_Dep / Debt_Schedule / Equity_Schedule -&gt; Income_Statement -&gt; Balance_Sheet -&gt; Cash_Flow -&gt; DCF.</t>
  </si>
  <si>
    <t xml:space="preserve">Valuation</t>
  </si>
  <si>
    <t xml:space="preserve">WACC (peer betas regressed in Market_Data) -&gt; DCF; Relative_Valuation (peer trading multiples); Peer_Multiples -&gt; SoTP.</t>
  </si>
  <si>
    <t xml:space="preserve">Published vs corrected</t>
  </si>
  <si>
    <t xml:space="preserve">Where the published model contains an error, the published logic is reproduced and a corrected figure is shown next to it (DCF section B, Relative_Valuation rows 29-41, SoTP column C). See Error_Log.</t>
  </si>
  <si>
    <t xml:space="preserve">Review the Checks sheet after changing any input. "OK" = within tolerance; "REVIEW" = a known issue in the published model or source data (explained on the sheet).</t>
  </si>
  <si>
    <t xml:space="preserve">Scenario</t>
  </si>
  <si>
    <t xml:space="preserve">The "Scenario (Live)" label on the Cover is informational; scenarios are on the SoTP sheet (Low / Base / High).</t>
  </si>
  <si>
    <t xml:space="preserve">MODEL CHECKS &amp; TIE-OUT TO THE PUBLISHED REPORT</t>
  </si>
  <si>
    <t xml:space="preserve">Status: OK = within tolerance. REVIEW = difference exceeds tolerance; for items marked "published issue" this is a genuine error/inconsistency in the published model (see Error_Log).</t>
  </si>
  <si>
    <t xml:space="preserve">A. INTEGRITY CHECKS</t>
  </si>
  <si>
    <t xml:space="preserve">Check</t>
  </si>
  <si>
    <t xml:space="preserve">Value</t>
  </si>
  <si>
    <t xml:space="preserve">Tolerance</t>
  </si>
  <si>
    <t xml:space="preserve">Status</t>
  </si>
  <si>
    <t xml:space="preserve">Error_Log ref</t>
  </si>
  <si>
    <t xml:space="preserve">Comment</t>
  </si>
  <si>
    <t xml:space="preserve">Revenue build total = historical income statement revenue (FY23-26, sum of abs differences)</t>
  </si>
  <si>
    <t xml:space="preserve">Linked - must be zero</t>
  </si>
  <si>
    <t xml:space="preserve">Historical balance sheets balance (FY23-26, sum of abs differences)</t>
  </si>
  <si>
    <t xml:space="preserve">E-22</t>
  </si>
  <si>
    <t xml:space="preserve">Source data rounding: +/-1 Cr in FY24 (report shows 14,510 vs 14,509 in FY26)</t>
  </si>
  <si>
    <t xml:space="preserve">Forecast balance sheet balances (FY27-31, sum of abs differences)</t>
  </si>
  <si>
    <t xml:space="preserve">Integrated model balances</t>
  </si>
  <si>
    <t xml:space="preserve">Forecast cash flow closing cash = balance sheet cash (FY27-31)</t>
  </si>
  <si>
    <t xml:space="preserve">Historical cash flow closing cash = historical balance sheet cash (FY23-26, sum of abs differences)</t>
  </si>
  <si>
    <t xml:space="preserve">E-04</t>
  </si>
  <si>
    <t xml:space="preserve">Published issue: CF closing cash 693/814/650/741 vs BS 708/852/678/781</t>
  </si>
  <si>
    <t xml:space="preserve">Historical cash flow opening cash = prior-year closing cash (FY24-26)</t>
  </si>
  <si>
    <t xml:space="preserve">Rounding only</t>
  </si>
  <si>
    <t xml:space="preserve">Cost_Schedule EBITDA = Income_Statement EBITDA (FY27-31)</t>
  </si>
  <si>
    <t xml:space="preserve">PPE gross block roll-forward reconciles (FY23-26, sum of abs differences)</t>
  </si>
  <si>
    <t xml:space="preserve">E-08</t>
  </si>
  <si>
    <t xml:space="preserve">Rounding in source data</t>
  </si>
  <si>
    <t xml:space="preserve">EMPS order-book roll-forward FY26: opening + new orders - revenue - closing</t>
  </si>
  <si>
    <t xml:space="preserve">E-07</t>
  </si>
  <si>
    <t xml:space="preserve">Published issue: 447 Cr gap (closing OB 6,200 vs roll-forward 6,647)</t>
  </si>
  <si>
    <t xml:space="preserve">EMPS FY26 execution rate: recomputed less hard-coded 39.5%</t>
  </si>
  <si>
    <t xml:space="preserve">Published issue: recomputed 37.9%</t>
  </si>
  <si>
    <t xml:space="preserve">Other current assets days: used in WC_Schedule vs displayed on Assumptions page (sum abs diff, days)</t>
  </si>
  <si>
    <t xml:space="preserve">E-05</t>
  </si>
  <si>
    <t xml:space="preserve">Published issue: 25 days displayed, 60-67 days used</t>
  </si>
  <si>
    <t xml:space="preserve">Peer market cap = CMP x shares (max relative difference)</t>
  </si>
  <si>
    <t xml:space="preserve">Rounded share counts</t>
  </si>
  <si>
    <t xml:space="preserve">Two WACCs: explicit-period WACC less terminal-value WACC</t>
  </si>
  <si>
    <t xml:space="preserve">E-03</t>
  </si>
  <si>
    <t xml:space="preserve">Published issue: 13.6-13.7% vs 12.9%</t>
  </si>
  <si>
    <t xml:space="preserve">Published FCFF overstated vs corrected FCFF (sum FY27-31)</t>
  </si>
  <si>
    <t xml:space="preserve">E-01</t>
  </si>
  <si>
    <t xml:space="preserve">Published issue: capex sign error</t>
  </si>
  <si>
    <t xml:space="preserve">DCF section B (as published column) = DCF main value per share</t>
  </si>
  <si>
    <t xml:space="preserve">DCF sensitivity centre = DCF corrected value per share</t>
  </si>
  <si>
    <t xml:space="preserve">Relative valuation weights total 100%</t>
  </si>
  <si>
    <t xml:space="preserve">Relative valuation target price: as published less ex-Voltas</t>
  </si>
  <si>
    <t xml:space="preserve">E-06</t>
  </si>
  <si>
    <t xml:space="preserve">Published issue: peer stats include Voltas</t>
  </si>
  <si>
    <t xml:space="preserve">SoTP base scenario = main result (value per share)</t>
  </si>
  <si>
    <t xml:space="preserve">SoTP sensitivity centre = base value per share</t>
  </si>
  <si>
    <t xml:space="preserve">SoTP segment EBIT vs model FY29E EBIT (relative difference)</t>
  </si>
  <si>
    <t xml:space="preserve">E-18</t>
  </si>
  <si>
    <t xml:space="preserve">Published issue: segment EBIT 12% above model EBIT</t>
  </si>
  <si>
    <t xml:space="preserve">SoTP discount factor: published less corrected</t>
  </si>
  <si>
    <t xml:space="preserve">E-20</t>
  </si>
  <si>
    <t xml:space="preserve">Published issue: 1.000 although 1.9 years</t>
  </si>
  <si>
    <t xml:space="preserve">Total debt: published (excl. current leases) less incl. current leases</t>
  </si>
  <si>
    <t xml:space="preserve">E-09</t>
  </si>
  <si>
    <t xml:space="preserve">Published issue: current lease liabilities omitted</t>
  </si>
  <si>
    <t xml:space="preserve">Net debt definitions: max less min across Ratios / DCF / Relative / SoTP</t>
  </si>
  <si>
    <t xml:space="preserve">E-10</t>
  </si>
  <si>
    <t xml:space="preserve">Published issue: 186 vs 201 vs 212 vs 211</t>
  </si>
  <si>
    <t xml:space="preserve">Checks passed / total</t>
  </si>
  <si>
    <t xml:space="preserve">B. TIE-OUT OF REBUILT MODEL TO THE PUBLISHED REPORT (published values keyed in from the PDF)</t>
  </si>
  <si>
    <t xml:space="preserve">Published</t>
  </si>
  <si>
    <t xml:space="preserve">Rebuilt model</t>
  </si>
  <si>
    <t xml:space="preserve">Difference</t>
  </si>
  <si>
    <t xml:space="preserve">Revenue FY27E</t>
  </si>
  <si>
    <t xml:space="preserve">Revenue FY28E</t>
  </si>
  <si>
    <t xml:space="preserve">Revenue FY29E</t>
  </si>
  <si>
    <t xml:space="preserve">Revenue FY30E</t>
  </si>
  <si>
    <t xml:space="preserve">Revenue FY31E</t>
  </si>
  <si>
    <t xml:space="preserve">EBITDA FY27E</t>
  </si>
  <si>
    <t xml:space="preserve">EBITDA FY28E</t>
  </si>
  <si>
    <t xml:space="preserve">EBITDA FY29E</t>
  </si>
  <si>
    <t xml:space="preserve">EBITDA FY30E</t>
  </si>
  <si>
    <t xml:space="preserve">EBITDA FY31E</t>
  </si>
  <si>
    <t xml:space="preserve">EBIT FY27E</t>
  </si>
  <si>
    <t xml:space="preserve">EBIT FY28E</t>
  </si>
  <si>
    <t xml:space="preserve">EBIT FY29E</t>
  </si>
  <si>
    <t xml:space="preserve">EBIT FY30E</t>
  </si>
  <si>
    <t xml:space="preserve">EBIT FY31E</t>
  </si>
  <si>
    <t xml:space="preserve">PBT FY27E</t>
  </si>
  <si>
    <t xml:space="preserve">PBT FY28E</t>
  </si>
  <si>
    <t xml:space="preserve">PBT FY29E</t>
  </si>
  <si>
    <t xml:space="preserve">PBT FY30E</t>
  </si>
  <si>
    <t xml:space="preserve">PBT FY31E</t>
  </si>
  <si>
    <t xml:space="preserve">PAT FY27E</t>
  </si>
  <si>
    <t xml:space="preserve">PAT FY28E</t>
  </si>
  <si>
    <t xml:space="preserve">PAT FY29E</t>
  </si>
  <si>
    <t xml:space="preserve">PAT FY30E</t>
  </si>
  <si>
    <t xml:space="preserve">PAT FY31E</t>
  </si>
  <si>
    <t xml:space="preserve">Diluted EPS FY27E (Rs)</t>
  </si>
  <si>
    <t xml:space="preserve">Diluted EPS FY31E (Rs)</t>
  </si>
  <si>
    <t xml:space="preserve">Total D&amp;A FY27E</t>
  </si>
  <si>
    <t xml:space="preserve">Total D&amp;A FY28E</t>
  </si>
  <si>
    <t xml:space="preserve">Total D&amp;A FY29E</t>
  </si>
  <si>
    <t xml:space="preserve">Total D&amp;A FY30E</t>
  </si>
  <si>
    <t xml:space="preserve">Total D&amp;A FY31E</t>
  </si>
  <si>
    <t xml:space="preserve">Closing cash FY27E</t>
  </si>
  <si>
    <t xml:space="preserve">Closing cash FY28E</t>
  </si>
  <si>
    <t xml:space="preserve">Closing cash FY29E</t>
  </si>
  <si>
    <t xml:space="preserve">Closing cash FY30E</t>
  </si>
  <si>
    <t xml:space="preserve">Closing cash FY31E</t>
  </si>
  <si>
    <t xml:space="preserve">Total assets FY27E</t>
  </si>
  <si>
    <t xml:space="preserve">Total assets FY28E</t>
  </si>
  <si>
    <t xml:space="preserve">Total assets FY29E</t>
  </si>
  <si>
    <t xml:space="preserve">Total assets FY30E</t>
  </si>
  <si>
    <t xml:space="preserve">Total assets FY31E</t>
  </si>
  <si>
    <t xml:space="preserve">Net working capital change FY27E</t>
  </si>
  <si>
    <t xml:space="preserve">Net working capital change FY28E</t>
  </si>
  <si>
    <t xml:space="preserve">Net working capital change FY29E</t>
  </si>
  <si>
    <t xml:space="preserve">Net working capital change FY30E</t>
  </si>
  <si>
    <t xml:space="preserve">Net working capital change FY31E</t>
  </si>
  <si>
    <t xml:space="preserve">CFO FY27E</t>
  </si>
  <si>
    <t xml:space="preserve">CFO FY28E</t>
  </si>
  <si>
    <t xml:space="preserve">CFO FY29E</t>
  </si>
  <si>
    <t xml:space="preserve">CFO FY30E</t>
  </si>
  <si>
    <t xml:space="preserve">CFO FY31E</t>
  </si>
  <si>
    <t xml:space="preserve">FCFF (as published) FY27E</t>
  </si>
  <si>
    <t xml:space="preserve">FCFF (as published) FY28E</t>
  </si>
  <si>
    <t xml:space="preserve">FCFF (as published) FY29E</t>
  </si>
  <si>
    <t xml:space="preserve">FCFF (as published) FY30E</t>
  </si>
  <si>
    <t xml:space="preserve">FCFF (as published) FY31E</t>
  </si>
  <si>
    <t xml:space="preserve">FCFE FY27E</t>
  </si>
  <si>
    <t xml:space="preserve">FCFE FY28E</t>
  </si>
  <si>
    <t xml:space="preserve">FCFE FY29E</t>
  </si>
  <si>
    <t xml:space="preserve">FCFE FY30E</t>
  </si>
  <si>
    <t xml:space="preserve">FCFE FY31E</t>
  </si>
  <si>
    <t xml:space="preserve">ROE FY27E</t>
  </si>
  <si>
    <t xml:space="preserve">ROCE FY27E</t>
  </si>
  <si>
    <t xml:space="preserve">EV/EBITDA FY27E (x)</t>
  </si>
  <si>
    <t xml:space="preserve">P/E FY27E (x)</t>
  </si>
  <si>
    <t xml:space="preserve">Levered beta - Voltas</t>
  </si>
  <si>
    <t xml:space="preserve">Levered beta - Blue Star</t>
  </si>
  <si>
    <t xml:space="preserve">Levered beta - Amber</t>
  </si>
  <si>
    <t xml:space="preserve">Levered beta - Crompton</t>
  </si>
  <si>
    <t xml:space="preserve">Levered beta - LG</t>
  </si>
  <si>
    <t xml:space="preserve">Re-levered beta (WACC)</t>
  </si>
  <si>
    <t xml:space="preserve">Cost of equity</t>
  </si>
  <si>
    <t xml:space="preserve">WACC explicit period</t>
  </si>
  <si>
    <t xml:space="preserve">WACC terminal value</t>
  </si>
  <si>
    <t xml:space="preserve">DCF: sum of PV of explicit FCFF</t>
  </si>
  <si>
    <t xml:space="preserve">DCF: terminal value</t>
  </si>
  <si>
    <t xml:space="preserve">DCF: PV of terminal value</t>
  </si>
  <si>
    <t xml:space="preserve">DCF: enterprise value</t>
  </si>
  <si>
    <t xml:space="preserve">DCF: equity value</t>
  </si>
  <si>
    <t xml:space="preserve">DCF: intrinsic value per share (Rs)</t>
  </si>
  <si>
    <t xml:space="preserve">Relative: implied value/share EV/Revenue (Rs)</t>
  </si>
  <si>
    <t xml:space="preserve">Relative: implied value/share EV/EBITDA (Rs)</t>
  </si>
  <si>
    <t xml:space="preserve">Relative: implied value/share P/E (Rs)</t>
  </si>
  <si>
    <t xml:space="preserve">Relative: implied target price (Rs)</t>
  </si>
  <si>
    <t xml:space="preserve">Peer multiple - suggested UCP (x)</t>
  </si>
  <si>
    <t xml:space="preserve">Peer multiple - suggested EMPS (x)</t>
  </si>
  <si>
    <t xml:space="preserve">SoTP: UCP value</t>
  </si>
  <si>
    <t xml:space="preserve">SoTP: EMPS value</t>
  </si>
  <si>
    <t xml:space="preserve">SoTP: EP&amp;S value</t>
  </si>
  <si>
    <t xml:space="preserve">SoTP: total operating value</t>
  </si>
  <si>
    <t xml:space="preserve">SoTP: equity value</t>
  </si>
  <si>
    <t xml:space="preserve">SoTP: value per share base (Rs)</t>
  </si>
  <si>
    <t xml:space="preserve">SoTP: value per share low (Rs)</t>
  </si>
  <si>
    <t xml:space="preserve">SoTP: value per share high (Rs)</t>
  </si>
  <si>
    <t xml:space="preserve">SoTP: sensitivity 5% / 35x (Rs)</t>
  </si>
  <si>
    <t xml:space="preserve">SoTP: sensitivity 9% / 45x (Rs)</t>
  </si>
  <si>
    <t xml:space="preserve">Tie-out items within tolerance / total</t>
  </si>
  <si>
    <t xml:space="preserve">ERROR &amp; INCONSISTENCY LOG - PUBLISHED VOLTAS MODEL (21-page report)</t>
  </si>
  <si>
    <t xml:space="preserve">Each item was found by rebuilding the model and cross-checking every page. Impact figures are live formulas where a numeric impact can be computed.</t>
  </si>
  <si>
    <t xml:space="preserve">VALUATION SUMMARY: AS PUBLISHED vs CORRECTED (Rs per share)</t>
  </si>
  <si>
    <t xml:space="preserve">Method</t>
  </si>
  <si>
    <t xml:space="preserve">As published (rebuilt)</t>
  </si>
  <si>
    <t xml:space="preserve">Corrected</t>
  </si>
  <si>
    <t xml:space="preserve">Change</t>
  </si>
  <si>
    <t xml:space="preserve">Corrections applied</t>
  </si>
  <si>
    <t xml:space="preserve">DCF (FCFF)</t>
  </si>
  <si>
    <t xml:space="preserve">E-01 capex sign; E-03 single WACC</t>
  </si>
  <si>
    <t xml:space="preserve">Relative valuation (peer multiples)</t>
  </si>
  <si>
    <t xml:space="preserve">E-06 exclude Voltas from peer statistics</t>
  </si>
  <si>
    <t xml:space="preserve">Sum-of-the-parts (base)</t>
  </si>
  <si>
    <t xml:space="preserve">E-20 discount operating value 1.9 yrs at cost of equity</t>
  </si>
  <si>
    <t xml:space="preserve">SoTP low</t>
  </si>
  <si>
    <t xml:space="preserve">as above</t>
  </si>
  <si>
    <t xml:space="preserve">SoTP high</t>
  </si>
  <si>
    <t xml:space="preserve">Current market price (Rs)</t>
  </si>
  <si>
    <t xml:space="preserve">Note: the report itself gives no blended target; DCF, multiples and SoTP differ widely (367 / 686 / 1,235) even before corrections - the DCF is heavily driven by terminal value (86% of EV) and working-capital build.</t>
  </si>
  <si>
    <t xml:space="preserve">DETAILED FINDINGS</t>
  </si>
  <si>
    <t xml:space="preserve">ID</t>
  </si>
  <si>
    <t xml:space="preserve">Sheet / location</t>
  </si>
  <si>
    <t xml:space="preserve">Severity</t>
  </si>
  <si>
    <t xml:space="preserve">Finding</t>
  </si>
  <si>
    <t xml:space="preserve">Evidence</t>
  </si>
  <si>
    <t xml:space="preserve">Impact (live)</t>
  </si>
  <si>
    <t xml:space="preserve">Impact unit / meaning</t>
  </si>
  <si>
    <t xml:space="preserve">Recommended fix</t>
  </si>
  <si>
    <t xml:space="preserve">Treatment in this workbook</t>
  </si>
  <si>
    <t xml:space="preserve">Cash_Flow - FCFF block (published p.14) -&gt; DCF</t>
  </si>
  <si>
    <t xml:space="preserve">High</t>
  </si>
  <si>
    <t xml:space="preserve">FCFF deducts capex as (PPE capex - ROU additions) instead of (PPE capex + ROU additions). The cash-flow statement itself uses 225/259/356/324/360.</t>
  </si>
  <si>
    <t xml:space="preserve">Published capex 205/236/330/295/328 vs correct 225/259/356/324/360; FCFF overstated by 20/23/26/29/32 (130 over five years).</t>
  </si>
  <si>
    <t xml:space="preserve">Rs per share change in DCF value from fixing capex only</t>
  </si>
  <si>
    <t xml:space="preserve">Use Capex + ROU additions (= CFI capex) in the FCFF block.</t>
  </si>
  <si>
    <t xml:space="preserve">Replicated as published (row "as published"); corrected FCFF on Cash_Flow and DCF col C.</t>
  </si>
  <si>
    <t xml:space="preserve">E-02</t>
  </si>
  <si>
    <t xml:space="preserve">DCF (published p.18) header</t>
  </si>
  <si>
    <t xml:space="preserve">Low</t>
  </si>
  <si>
    <t xml:space="preserve">Column headers read FY26E-FY30E but the cash flows are FY27E-FY31E (the PV line below even says FY27E-FY31E).</t>
  </si>
  <si>
    <t xml:space="preserve">Header FY26E..FY30E vs FCFF 400/240/676/291/963 = FY27E..FY31E.</t>
  </si>
  <si>
    <t xml:space="preserve">Relabel headers FY27E-FY31E.</t>
  </si>
  <si>
    <t xml:space="preserve">Headers corrected.</t>
  </si>
  <si>
    <t xml:space="preserve">WACC (p.17) / DCF (p.18)</t>
  </si>
  <si>
    <t xml:space="preserve">Two different WACCs are used: 13.7% (beta 1.14) for the explicit period and a separate 12.9% (beta hard-coded 1.00) for the terminal value, which widens the TV and is not explained.</t>
  </si>
  <si>
    <t xml:space="preserve">Explicit discount factors imply 13.66%; TV = 1,034/(12.9% - 7.4%) = 18,809.</t>
  </si>
  <si>
    <t xml:space="preserve">Rs per share change from using one WACC (after fixing E-01)</t>
  </si>
  <si>
    <t xml:space="preserve">Use a single WACC (or justify a lower terminal WACC) and link both to the same beta.</t>
  </si>
  <si>
    <t xml:space="preserve">Both reproduced; DCF section B shows effect.</t>
  </si>
  <si>
    <t xml:space="preserve">Hist_CF (p.5) vs Hist_BS (p.4)</t>
  </si>
  <si>
    <t xml:space="preserve">Medium</t>
  </si>
  <si>
    <t xml:space="preserve">Historical closing cash in the cash flow statement does not agree with balance sheet cash; FY26 opening cash (650) also differs from FY25 closing (649).</t>
  </si>
  <si>
    <t xml:space="preserve">CF closing 693/816/649/740 vs BS 708/852/678/781.</t>
  </si>
  <si>
    <t xml:space="preserve">FY26 difference, Rs Cr (CF less BS)</t>
  </si>
  <si>
    <t xml:space="preserve">Reconcile (bank overdrafts / other bank balances) or restate cash definition; forecast starts from BS cash 781.</t>
  </si>
  <si>
    <t xml:space="preserve">Reproduced; difference shown on Hist_CF and Checks.</t>
  </si>
  <si>
    <t xml:space="preserve">Assumptions (p.6) vs WC_Schedule (p.9)</t>
  </si>
  <si>
    <t xml:space="preserve">Assumptions page shows Other Current Assets Days = 25.0 for every forecast year, but the working-capital schedule uses 67/63/61/61/60 days ("Forecast = Assumptions link" is broken).</t>
  </si>
  <si>
    <t xml:space="preserve">OCA FY27 3,039 = 16,558 x 67/365; at 25 days it would be 1,134.</t>
  </si>
  <si>
    <t xml:space="preserve">FY27 OCA balance higher than a 25-day assumption, Rs Cr (cash tied up)</t>
  </si>
  <si>
    <t xml:space="preserve">Link WC_Schedule to the assumption cell or correct the assumption page; decide which days are intended.</t>
  </si>
  <si>
    <t xml:space="preserve">Inputs set to the days actually used; displayed 25 kept as a memo row.</t>
  </si>
  <si>
    <t xml:space="preserve">Relative_Valuation (p.19)</t>
  </si>
  <si>
    <t xml:space="preserve">Peer statistics (median/average/quartiles) include Voltas itself, so the EV/Revenue implied value equals the current price (circular) and medians are biased toward Voltas.</t>
  </si>
  <si>
    <t xml:space="preserve">Implied EV/Revenue value Rs 1,033.16 vs CMP 1,032.85. Ex-Voltas medians: EV/Rev 2.4x, EV/EBITDA 32.4x, P/E 65.3x.</t>
  </si>
  <si>
    <t xml:space="preserve">Rs change in blended target price when Voltas is excluded</t>
  </si>
  <si>
    <t xml:space="preserve">Exclude the target company from peer statistics.</t>
  </si>
  <si>
    <t xml:space="preserve">Published calc reproduced; corrected block on Relative_Valuation rows 29-41.</t>
  </si>
  <si>
    <t xml:space="preserve">Revenue_Build (p.7)</t>
  </si>
  <si>
    <t xml:space="preserve">EMPS FY26: execution rate hard-coded at 39.5% but actual revenue / (opening OB + new orders) is 37.9%; order book does not roll forward (6,500 + 4,200 - 4,053 = 6,647, not 6,200). Forecast opening OB of 6,200 may understate EMPS revenue.</t>
  </si>
  <si>
    <t xml:space="preserve">FY26 roll-forward gap 447 Cr; at 39% execution a 447 Cr higher opening OB adds ~174 Cr FY27 EMPS revenue.</t>
  </si>
  <si>
    <t xml:space="preserve">Rs Cr gap in FY26 closing order book</t>
  </si>
  <si>
    <t xml:space="preserve">Confirm FY26 closing order book from reported data and make opening OB / execution rate consistent.</t>
  </si>
  <si>
    <t xml:space="preserve">Reproduced; check rows added on Revenue_Build.</t>
  </si>
  <si>
    <t xml:space="preserve">Capex_Dep (p.10)</t>
  </si>
  <si>
    <t xml:space="preserve">Two rows are both labelled "Less: Disposal"; the second one is added back in the roll-forward (it is an adjustment/transfer, not a disposal).</t>
  </si>
  <si>
    <t xml:space="preserve">Gross block FY26: 1,161 + 183 - 17 + 11 = 1,338; accumulated depn 341 + 70 - 15 + 7 = 403.</t>
  </si>
  <si>
    <t xml:space="preserve">Relabel second row "Add: other adjustments / transfers".</t>
  </si>
  <si>
    <t xml:space="preserve">Relabelled.</t>
  </si>
  <si>
    <t xml:space="preserve">Debt_Schedule (p.11)</t>
  </si>
  <si>
    <t xml:space="preserve">"Lease Liabilities (Total)" contains only non-current leases (15); current leases (11) are left out of Total Debt. The ST borrowings row labelled "% (Receivables + Inventories)" actually shows the rupee increase. FY26A total debt shows 981 vs 982 sum of components.</t>
  </si>
  <si>
    <t xml:space="preserve">Total debt incl. current leases FY26 = 993 vs 981-982 shown.</t>
  </si>
  <si>
    <t xml:space="preserve">Rs Cr debt omitted from published Total Debt</t>
  </si>
  <si>
    <t xml:space="preserve">Include current lease liabilities and fix labels.</t>
  </si>
  <si>
    <t xml:space="preserve">Memo row added (total incl. current leases).</t>
  </si>
  <si>
    <t xml:space="preserve">Ratios / DCF / Relative_Valuation / SoTP</t>
  </si>
  <si>
    <t xml:space="preserve">Net debt is defined four different ways: Ratios 186 (LT+ST borrowings less cash), DCF 200, Relative 212 (Screener), SoTP 211 (992 less 781). Debt of 992 vs 982/967 also differs.</t>
  </si>
  <si>
    <t xml:space="preserve">186 vs 200/201 vs 212 vs 211.</t>
  </si>
  <si>
    <t xml:space="preserve">Rs Cr spread between highest and lowest net debt</t>
  </si>
  <si>
    <t xml:space="preserve">Adopt one definition (e.g. borrowings + leases - cash and liquid investments) across all valuation sheets.</t>
  </si>
  <si>
    <t xml:space="preserve">Each method kept as published.</t>
  </si>
  <si>
    <t xml:space="preserve">E-11</t>
  </si>
  <si>
    <t xml:space="preserve">Cost_Schedule (p.8)</t>
  </si>
  <si>
    <t xml:space="preserve">The forecast line labelled "Sub-Contracting / Erection Charges (EMPS)" actually holds total Other Expenses (selling, admin, freight, power etc.); Hist_IS shows sub-contracting as blank.</t>
  </si>
  <si>
    <t xml:space="preserve">FY26: 1,589 = Other expenses on Hist_IS.</t>
  </si>
  <si>
    <t xml:space="preserve">Relabel as Other Expenses.</t>
  </si>
  <si>
    <t xml:space="preserve">Label clarified.</t>
  </si>
  <si>
    <t xml:space="preserve">E-12</t>
  </si>
  <si>
    <t xml:space="preserve">Assumptions (p.6) - interest rates</t>
  </si>
  <si>
    <t xml:space="preserve">Average interest rates on LT (7.0%-6.7%) and ST debt (7.9%-7.5%) are inputs but are not used; finance cost is driven by "% of revenue". Implied interest on the debt schedule differs from the finance cost in the income statement.</t>
  </si>
  <si>
    <t xml:space="preserve">FY27 finance cost 101 vs rate-based estimate on average debt.</t>
  </si>
  <si>
    <t xml:space="preserve">FY27 Rs Cr: model finance cost less rate-based interest</t>
  </si>
  <si>
    <t xml:space="preserve">Drive finance cost off debt balances x rates (and leases) or remove unused inputs.</t>
  </si>
  <si>
    <t xml:space="preserve">Reproduced; inputs flagged "not used".</t>
  </si>
  <si>
    <t xml:space="preserve">E-13</t>
  </si>
  <si>
    <t xml:space="preserve">Income_Statement / Cash_Flow (pp.12,14)</t>
  </si>
  <si>
    <t xml:space="preserve">Share of JV loss (-131 each year) is a non-cash charge but is not added back in CFO and NC investments stay flat, i.e. the model implicitly funds JV losses in cash inside operating cash flow. FCFF (EBIT-based) ignores this funding.</t>
  </si>
  <si>
    <t xml:space="preserve">JV loss -131 p.a. reduces cash by 655 over FY27-31.</t>
  </si>
  <si>
    <t xml:space="preserve">Rs Cr per year of JV loss treated as cash</t>
  </si>
  <si>
    <t xml:space="preserve">Show JV funding in investing cash flow (or add back loss and reduce investment) and reflect it in valuation.</t>
  </si>
  <si>
    <t xml:space="preserve">Reproduced (no effect on balancing).</t>
  </si>
  <si>
    <t xml:space="preserve">E-14</t>
  </si>
  <si>
    <t xml:space="preserve">DCF (p.18) - terminal growth</t>
  </si>
  <si>
    <t xml:space="preserve">Terminal growth (7.4%) is linked to the risk-free rate; combined with the low terminal WACC the spread is only ~5.5% and terminal value is 86% of EV. Valuation is extremely sensitive to this.</t>
  </si>
  <si>
    <t xml:space="preserve">TV % of EV = 85.6%; each +1pt of g adds roughly Rs 40-55 per share at the corrected WACC (see DCF sensitivity).</t>
  </si>
  <si>
    <t xml:space="preserve">Terminal value as % of EV</t>
  </si>
  <si>
    <t xml:space="preserve">Justify g separately from Rf (usually 4-6% for long-run nominal growth) and show sensitivity.</t>
  </si>
  <si>
    <t xml:space="preserve">Reproduced; sensitivity grid added on DCF.</t>
  </si>
  <si>
    <t xml:space="preserve">E-15</t>
  </si>
  <si>
    <t xml:space="preserve">DCF (p.18) - equity bridge</t>
  </si>
  <si>
    <t xml:space="preserve">Equity value deducts only net debt; non-current investments (2,307) and current investments (277) are ignored, while the JV funding burn is also excluded from FCFF. SoTP, by contrast, adds the JV at book value.</t>
  </si>
  <si>
    <t xml:space="preserve">Excluded investments 2,584 Cr = Rs 78 per share.</t>
  </si>
  <si>
    <t xml:space="preserve">Rs per share of excluded investments (book)</t>
  </si>
  <si>
    <t xml:space="preserve">Add value of non-operating investments (and JV) consistently across DCF and SoTP.</t>
  </si>
  <si>
    <t xml:space="preserve">Memo only (not applied).</t>
  </si>
  <si>
    <t xml:space="preserve">E-16</t>
  </si>
  <si>
    <t xml:space="preserve">Market_Data vs Relative_Valuation (pp.16,19)</t>
  </si>
  <si>
    <t xml:space="preserve">Peer data differ between the WACC/Market_Data page and the Relative_Valuation page: Amber price 6,688.55 vs 6,668.00; Voltas net income 442.2 vs 370.0; LG 1,824.7 vs 1,685.0; Crompton -228.1 vs 516.0; sales and market caps also differ.</t>
  </si>
  <si>
    <t xml:space="preserve">Voltas NP 442.2 (12M) vs 370.0 (FY26); Amber price difference shown at right.</t>
  </si>
  <si>
    <t xml:space="preserve">Rs per share Amber price difference</t>
  </si>
  <si>
    <t xml:space="preserve">Use a single dated data set for all peer analysis.</t>
  </si>
  <si>
    <t xml:space="preserve">Both data sets reproduced.</t>
  </si>
  <si>
    <t xml:space="preserve">E-17</t>
  </si>
  <si>
    <t xml:space="preserve">Assumptions vs SoTP</t>
  </si>
  <si>
    <t xml:space="preserve">Forecast effective tax rate is 30%, SoTP uses 25% and WACC sheet uses 25%.</t>
  </si>
  <si>
    <t xml:space="preserve">30% vs 25% (PAT used in SoTP is ~7% higher than at 30%).</t>
  </si>
  <si>
    <t xml:space="preserve">Percentage-point difference in tax rate</t>
  </si>
  <si>
    <t xml:space="preserve">Use one tax-rate assumption (or document the reason).</t>
  </si>
  <si>
    <t xml:space="preserve">Reproduced.</t>
  </si>
  <si>
    <t xml:space="preserve">SoTP (p.21) - tie-out</t>
  </si>
  <si>
    <t xml:space="preserve">Segment EBIT in the SoTP (1,595) does not reconcile to the model FY29E EBIT (1,420); the "for tie-out check" input is shown but never used. Overall margin 7.4% vs model 6.6% (unallocated costs not charged).</t>
  </si>
  <si>
    <t xml:space="preserve">SoTP EBIT 1,595 vs model 1,420: +175 Cr (+12.3%).</t>
  </si>
  <si>
    <t xml:space="preserve">Rs Cr SoTP segment EBIT above model EBIT</t>
  </si>
  <si>
    <t xml:space="preserve">Reconcile segment margins to consolidated EBIT or allocate corporate costs.</t>
  </si>
  <si>
    <t xml:space="preserve">Tie-out row added (SoTP row 17).</t>
  </si>
  <si>
    <t xml:space="preserve">E-19</t>
  </si>
  <si>
    <t xml:space="preserve">SoTP (p.21) - borrowings note</t>
  </si>
  <si>
    <t xml:space="preserve">Note says borrowings = term loan 423 + working-capital debt 544 + leases ~15 = 982, but 992 is deducted.</t>
  </si>
  <si>
    <t xml:space="preserve">423 + 544 + 15 = 982 vs 992 used.</t>
  </si>
  <si>
    <t xml:space="preserve">Rs Cr over-deduction</t>
  </si>
  <si>
    <t xml:space="preserve">Correct the amount or the note.</t>
  </si>
  <si>
    <t xml:space="preserve">Published 992 retained.</t>
  </si>
  <si>
    <t xml:space="preserve">SoTP (p.21) - discount factor</t>
  </si>
  <si>
    <t xml:space="preserve">"Years from today to valuation date" = 1.9 but the discount factor is 1.000, so FY29E-based operating value is not discounted to today (the multiples are applied to FY29E earnings at Sep-28).</t>
  </si>
  <si>
    <t xml:space="preserve">Discount factor 1.000 vs 1/(1+13.8%)^1.9 = 0.78.</t>
  </si>
  <si>
    <t xml:space="preserve">Rs per share change when discounted</t>
  </si>
  <si>
    <t xml:space="preserve">Apply the discount factor (e.g. at cost of equity) or explain why none is needed.</t>
  </si>
  <si>
    <t xml:space="preserve">Published reproduced; corrected column C added.</t>
  </si>
  <si>
    <t xml:space="preserve">E-21</t>
  </si>
  <si>
    <t xml:space="preserve">SoTP (p.21)</t>
  </si>
  <si>
    <t xml:space="preserve">Revenue-share total shows 99.6% (excludes "Other Unallocated" 0.4%).</t>
  </si>
  <si>
    <t xml:space="preserve">Total should be 100%.</t>
  </si>
  <si>
    <t xml:space="preserve">Include Other in the total.</t>
  </si>
  <si>
    <t xml:space="preserve">Corrected.</t>
  </si>
  <si>
    <t xml:space="preserve">Hist_IS / Hist_BS / Hist_CF (pp.3-5)</t>
  </si>
  <si>
    <t xml:space="preserve">Source data are rounded to whole crores so statements do not foot exactly (e.g. FY26 total E&amp;L 14,510 vs total assets 14,509; FY23 PBT 307 vs derived 306; closing equity+liabilities FY24-25 off by 1).</t>
  </si>
  <si>
    <t xml:space="preserve">Check rows added.</t>
  </si>
  <si>
    <t xml:space="preserve">Rs Cr sum of absolute BS differences FY23-26</t>
  </si>
  <si>
    <t xml:space="preserve">Load unrounded statements.</t>
  </si>
  <si>
    <t xml:space="preserve">Totals computed by formula; differences of +/-1 vs report.</t>
  </si>
  <si>
    <t xml:space="preserve">E-23</t>
  </si>
  <si>
    <t xml:space="preserve">Hist_IS / Relative / Market_Data</t>
  </si>
  <si>
    <t xml:space="preserve">Share count is shown as 33.1 (EPS), 33.09 (market data) and 33.08 (SoTP, DCF and ratios).</t>
  </si>
  <si>
    <t xml:space="preserve">33.1 / 33.09 / 33.08.</t>
  </si>
  <si>
    <t xml:space="preserve">Use one share count.</t>
  </si>
  <si>
    <t xml:space="preserve">33.08 used throughout.</t>
  </si>
  <si>
    <t xml:space="preserve">E-24</t>
  </si>
  <si>
    <t xml:space="preserve">DCF / Cover - timing</t>
  </si>
  <si>
    <t xml:space="preserve">Valuation date is 19-Oct-2026 but cash flows are discounted from 1-Apr-2026 (FY27 at 0.5 years) and the equity bridge uses 31-Mar-2026 net debt; roughly half of FY27 has already elapsed.</t>
  </si>
  <si>
    <t xml:space="preserve">Date of valuation 19-Oct-2026 vs period start 1-Apr-2026.</t>
  </si>
  <si>
    <t xml:space="preserve">Roll the valuation date forward (stub period) or state the valuation date as 31-Mar-2026.</t>
  </si>
  <si>
    <t xml:space="preserve">Not changed (flagged).</t>
  </si>
  <si>
    <t xml:space="preserve">E-25</t>
  </si>
  <si>
    <t xml:space="preserve">Equity_Schedule / Cash_Flow</t>
  </si>
  <si>
    <t xml:space="preserve">Dividends are held flat at 132 Cr (Rs 4/share) vs 232 Cr paid in FY26 despite profit tripling.</t>
  </si>
  <si>
    <t xml:space="preserve">FY26 dividend 232 vs forecast 132.</t>
  </si>
  <si>
    <t xml:space="preserve">Rs Cr lower dividends than FY26</t>
  </si>
  <si>
    <t xml:space="preserve">Link dividends to a payout ratio.</t>
  </si>
  <si>
    <t xml:space="preserve">Reproduced (DPS Rs 4 assumption).</t>
  </si>
  <si>
    <t xml:space="preserve">E-26</t>
  </si>
  <si>
    <t xml:space="preserve">Ratios (p.15)</t>
  </si>
  <si>
    <t xml:space="preserve">ROE uses average equity (FY24 onwards) whereas ROA, ROCE, asset and inventory turnover use closing balances; Net Debt/EBITDA excludes leases while Debt/Equity includes non-current leases.</t>
  </si>
  <si>
    <t xml:space="preserve">Mixed conventions.</t>
  </si>
  <si>
    <t xml:space="preserve">Use consistent average-balance conventions.</t>
  </si>
  <si>
    <t xml:space="preserve">Reproduced; conventions stated in labels.</t>
  </si>
  <si>
    <t xml:space="preserve">E-27</t>
  </si>
  <si>
    <t xml:space="preserve">WACC (p.17)</t>
  </si>
  <si>
    <t xml:space="preserve">Pre-tax cost of debt displays 7.9% while Rf 7.4% + spread 0.6% = 8.0% (after-tax 6.0% is consistent with 8.0%). Rebuilt WACC 13.64% vs 13.7% shown; TV WACC 12.86% vs 12.9%.</t>
  </si>
  <si>
    <t xml:space="preserve">Rebuilt less published explicit WACC</t>
  </si>
  <si>
    <t xml:space="preserve">Show unrounded inputs.</t>
  </si>
  <si>
    <t xml:space="preserve">Rebuilt from displayed inputs; small variance (see Checks).</t>
  </si>
  <si>
    <t xml:space="preserve">E-28</t>
  </si>
  <si>
    <t xml:space="preserve">Instructions / Market_Data</t>
  </si>
  <si>
    <t xml:space="preserve">The TOC lists an "Instructions" sheet and the "Market_Data" page, which are not legible in the PDF (Instructions not printed; weekly price table too small).</t>
  </si>
  <si>
    <t xml:space="preserve">Provide readable print area.</t>
  </si>
  <si>
    <t xml:space="preserve">Instructions rewritten; price history re-extracted from the PDF text and betas recomputed with SLOPE (they match the published betas).</t>
  </si>
  <si>
    <t xml:space="preserve">Findings by severity</t>
  </si>
  <si>
    <t xml:space="preserve">VOLTAS LIMITED - HISTORICAL INCOME STATEMENT</t>
  </si>
  <si>
    <t xml:space="preserve">INR Crore unless stated</t>
  </si>
  <si>
    <t xml:space="preserve">HISTORICAL</t>
  </si>
  <si>
    <t xml:space="preserve">Particulars</t>
  </si>
  <si>
    <t xml:space="preserve">Unit</t>
  </si>
  <si>
    <t xml:space="preserve">Mar-23A</t>
  </si>
  <si>
    <t xml:space="preserve">Mar-24A</t>
  </si>
  <si>
    <t xml:space="preserve">Mar-25A</t>
  </si>
  <si>
    <t xml:space="preserve">Mar-26A</t>
  </si>
  <si>
    <t xml:space="preserve">SEGMENT REVENUE (Rs Cr)</t>
  </si>
  <si>
    <t xml:space="preserve">Unitary Cooling Products (RAC)</t>
  </si>
  <si>
    <t xml:space="preserve">Rs Cr</t>
  </si>
  <si>
    <t xml:space="preserve">Electro-Mechanical Projects &amp; Services (EMPS)</t>
  </si>
  <si>
    <t xml:space="preserve">Engineering Products &amp; Services</t>
  </si>
  <si>
    <t xml:space="preserve">International Operations</t>
  </si>
  <si>
    <t xml:space="preserve">Others / Unallocated</t>
  </si>
  <si>
    <t xml:space="preserve">Total Revenue from Operations</t>
  </si>
  <si>
    <t xml:space="preserve">OPERATING EXPENSES (Rs Cr)</t>
  </si>
  <si>
    <t xml:space="preserve">Cost of Materials Consumed</t>
  </si>
  <si>
    <t xml:space="preserve">Purchase of Stock-in-Trade</t>
  </si>
  <si>
    <t xml:space="preserve">Changes in Inventories</t>
  </si>
  <si>
    <t xml:space="preserve">Employee Benefit Expense</t>
  </si>
  <si>
    <t xml:space="preserve">Sub-contracting / Erection Charges (EMPS)</t>
  </si>
  <si>
    <t xml:space="preserve">Other Expenses (Selling, Admin, Freight, Power)</t>
  </si>
  <si>
    <t xml:space="preserve">Total Expenses (before D&amp;A and Finance Cost)</t>
  </si>
  <si>
    <t xml:space="preserve">EBITDA</t>
  </si>
  <si>
    <t xml:space="preserve">EBITDA Margin %</t>
  </si>
  <si>
    <t xml:space="preserve">Depreciation &amp; Amortization</t>
  </si>
  <si>
    <t xml:space="preserve">EBIT</t>
  </si>
  <si>
    <t xml:space="preserve">Finance Costs</t>
  </si>
  <si>
    <t xml:space="preserve">Other Income</t>
  </si>
  <si>
    <t xml:space="preserve">Share of Profit from Associates / JV</t>
  </si>
  <si>
    <t xml:space="preserve">Exceptional Items</t>
  </si>
  <si>
    <t xml:space="preserve">Profit Before Tax (PBT)</t>
  </si>
  <si>
    <t xml:space="preserve">Tax Expense (Current + Deferred)</t>
  </si>
  <si>
    <t xml:space="preserve">Effective Tax Rate %</t>
  </si>
  <si>
    <t xml:space="preserve">Profit After Tax (PAT)</t>
  </si>
  <si>
    <t xml:space="preserve">Non-Controlling / Minority Interest</t>
  </si>
  <si>
    <t xml:space="preserve">Net Profit Attributable to Owners</t>
  </si>
  <si>
    <t xml:space="preserve">Weighted Avg. Diluted Shares Outstanding (Cr)</t>
  </si>
  <si>
    <t xml:space="preserve">Cr Shares</t>
  </si>
  <si>
    <t xml:space="preserve">Diluted EPS (Rs)</t>
  </si>
  <si>
    <t xml:space="preserve">COMMON-SIZE ANALYSIS (% of Total Revenue)</t>
  </si>
  <si>
    <t xml:space="preserve">Cost of Materials Consumed %</t>
  </si>
  <si>
    <t xml:space="preserve">Employee Cost %</t>
  </si>
  <si>
    <t xml:space="preserve">Other Expenses %</t>
  </si>
  <si>
    <t xml:space="preserve">EBIT Margin %</t>
  </si>
  <si>
    <t xml:space="preserve">PAT Margin %</t>
  </si>
  <si>
    <t xml:space="preserve">VOLTAS LIMITED - HISTORICAL BALANCE SHEET</t>
  </si>
  <si>
    <t xml:space="preserve">EQUITY &amp; LIABILITIES</t>
  </si>
  <si>
    <t xml:space="preserve">Share Capital</t>
  </si>
  <si>
    <t xml:space="preserve">Other Equity (Reserves &amp; Surplus)</t>
  </si>
  <si>
    <t xml:space="preserve">Non-Controlling Interest</t>
  </si>
  <si>
    <t xml:space="preserve">Total Equity</t>
  </si>
  <si>
    <t xml:space="preserve">Long Term Borrowings</t>
  </si>
  <si>
    <t xml:space="preserve">Lease Liabilities (Non-Current)</t>
  </si>
  <si>
    <t xml:space="preserve">Deferred Tax Liabilities (Net)</t>
  </si>
  <si>
    <t xml:space="preserve">Other Non-Current Liabilities &amp; Provisions</t>
  </si>
  <si>
    <t xml:space="preserve">Total Non-Current Liabilities</t>
  </si>
  <si>
    <t xml:space="preserve">Short Term Borrowings</t>
  </si>
  <si>
    <t xml:space="preserve">Lease Liabilities (Current)</t>
  </si>
  <si>
    <t xml:space="preserve">Trade Payables</t>
  </si>
  <si>
    <t xml:space="preserve">Other Current Liabilities &amp; Provisions</t>
  </si>
  <si>
    <t xml:space="preserve">Total Current Liabilities</t>
  </si>
  <si>
    <t xml:space="preserve">TOTAL EQUITY &amp; LIABILITIES</t>
  </si>
  <si>
    <t xml:space="preserve">ASSETS</t>
  </si>
  <si>
    <t xml:space="preserve">Net Block - Property, Plant &amp; Equipment</t>
  </si>
  <si>
    <t xml:space="preserve">Capital Work in Progress</t>
  </si>
  <si>
    <t xml:space="preserve">Right-of-Use Assets</t>
  </si>
  <si>
    <t xml:space="preserve">Intangible Assets &amp; Goodwill</t>
  </si>
  <si>
    <t xml:space="preserve">Non-Current Investments</t>
  </si>
  <si>
    <t xml:space="preserve">Deferred Tax Assets (Net)</t>
  </si>
  <si>
    <t xml:space="preserve">Other Non-Current Assets</t>
  </si>
  <si>
    <t xml:space="preserve">Total Non-Current Assets</t>
  </si>
  <si>
    <t xml:space="preserve">Inventories</t>
  </si>
  <si>
    <t xml:space="preserve">Trade Receivables</t>
  </si>
  <si>
    <t xml:space="preserve">Cash &amp; Cash Equivalents</t>
  </si>
  <si>
    <t xml:space="preserve">Current Investments</t>
  </si>
  <si>
    <t xml:space="preserve">Contract Assets</t>
  </si>
  <si>
    <t xml:space="preserve">Other Current Assets (incl. Unbilled Revenue)</t>
  </si>
  <si>
    <t xml:space="preserve">Total Current Assets</t>
  </si>
  <si>
    <t xml:space="preserve">TOTAL ASSETS</t>
  </si>
  <si>
    <t xml:space="preserve">Check: Total Assets - Total Equity &amp; Liabilities (rounding in source data)</t>
  </si>
  <si>
    <t xml:space="preserve">VOLTAS LIMITED - HISTORICAL CASH FLOW STATEMENT (Indirect Method)</t>
  </si>
  <si>
    <t xml:space="preserve">CASH FLOW FROM OPERATING ACTIVITIES</t>
  </si>
  <si>
    <t xml:space="preserve">Profit Before Tax</t>
  </si>
  <si>
    <t xml:space="preserve">Add: Depreciation &amp; Amortization</t>
  </si>
  <si>
    <t xml:space="preserve">Add: Finance Costs</t>
  </si>
  <si>
    <t xml:space="preserve">Other Non-Cash Adjustments</t>
  </si>
  <si>
    <t xml:space="preserve">Changes in Working Capital</t>
  </si>
  <si>
    <t xml:space="preserve">Less: Direct Taxes Paid</t>
  </si>
  <si>
    <t xml:space="preserve">Net Cash from Operating Activities (CFO)</t>
  </si>
  <si>
    <t xml:space="preserve">CASH FLOW FROM INVESTING ACTIVITIES</t>
  </si>
  <si>
    <t xml:space="preserve">Purchase of PPE / Capex</t>
  </si>
  <si>
    <t xml:space="preserve">Proceeds from Sale of Assets</t>
  </si>
  <si>
    <t xml:space="preserve">Purchase/Sale of Investments (Net)</t>
  </si>
  <si>
    <t xml:space="preserve">Interest &amp; Dividend Received</t>
  </si>
  <si>
    <t xml:space="preserve">Net Cash from Investing Activities (CFI)</t>
  </si>
  <si>
    <t xml:space="preserve">CASH FLOW FROM FINANCING ACTIVITIES</t>
  </si>
  <si>
    <t xml:space="preserve">Proceeds from Borrowings</t>
  </si>
  <si>
    <t xml:space="preserve">Repayment of Borrowings</t>
  </si>
  <si>
    <t xml:space="preserve">Payment of Lease Liabilities</t>
  </si>
  <si>
    <t xml:space="preserve">Interest Paid</t>
  </si>
  <si>
    <t xml:space="preserve">Dividend Paid</t>
  </si>
  <si>
    <t xml:space="preserve">Buyback of Shares / Other</t>
  </si>
  <si>
    <t xml:space="preserve">Net Cash from Financing Activities (CFF)</t>
  </si>
  <si>
    <t xml:space="preserve">Net Increase / (Decrease) in Cash</t>
  </si>
  <si>
    <t xml:space="preserve">Opening Cash &amp; Cash Equivalents</t>
  </si>
  <si>
    <t xml:space="preserve">Closing Cash &amp; Cash Equivalents</t>
  </si>
  <si>
    <t xml:space="preserve">Free Cash Flow to Firm proxy (CFO - Capex)</t>
  </si>
  <si>
    <t xml:space="preserve">RECONCILIATION CHECKS (added)</t>
  </si>
  <si>
    <t xml:space="preserve">Cash &amp; cash equivalents per Balance Sheet</t>
  </si>
  <si>
    <t xml:space="preserve">Difference: CF closing cash - Balance Sheet cash</t>
  </si>
  <si>
    <t xml:space="preserve">Difference: CF opening cash - prior year CF closing cash</t>
  </si>
  <si>
    <t xml:space="preserve">VOLTAS LIMITED - MASTER ASSUMPTIONS</t>
  </si>
  <si>
    <t xml:space="preserve">FORECAST</t>
  </si>
  <si>
    <t xml:space="preserve">Mar-27E</t>
  </si>
  <si>
    <t xml:space="preserve">Mar-28E</t>
  </si>
  <si>
    <t xml:space="preserve">Mar-29E</t>
  </si>
  <si>
    <t xml:space="preserve">Mar-30E</t>
  </si>
  <si>
    <t xml:space="preserve">Mar-31E</t>
  </si>
  <si>
    <t xml:space="preserve">A. GENERAL</t>
  </si>
  <si>
    <t xml:space="preserve">Date of valuation</t>
  </si>
  <si>
    <t xml:space="preserve">text</t>
  </si>
  <si>
    <t xml:space="preserve">Current market price used in valuation (Rs per share)</t>
  </si>
  <si>
    <t xml:space="preserve">Rs</t>
  </si>
  <si>
    <t xml:space="preserve">Diluted shares outstanding (Cr)</t>
  </si>
  <si>
    <t xml:space="preserve">Cr</t>
  </si>
  <si>
    <t xml:space="preserve">B. SEGMENT 1 - UNITARY COOLING PRODUCTS (ROOM AC &amp; COOLERS)</t>
  </si>
  <si>
    <t xml:space="preserve">RAC Industry Volume Growth %</t>
  </si>
  <si>
    <t xml:space="preserve">%</t>
  </si>
  <si>
    <t xml:space="preserve">Voltas Market Share %</t>
  </si>
  <si>
    <t xml:space="preserve">Implied Voltas Volume Growth %</t>
  </si>
  <si>
    <t xml:space="preserve">Realization / ASP Growth % (Price Increase)</t>
  </si>
  <si>
    <t xml:space="preserve">C. SEGMENT 2 - ELECTRO-MECHANICAL PROJECTS &amp; SERVICES (EMPS)</t>
  </si>
  <si>
    <t xml:space="preserve">New Order Inflow Growth %</t>
  </si>
  <si>
    <t xml:space="preserve">Order Book Execution Rate % (Revenue Recognition)</t>
  </si>
  <si>
    <t xml:space="preserve">D. SEGMENT 3 - ENGINEERING PRODUCTS &amp; SERVICES</t>
  </si>
  <si>
    <t xml:space="preserve">Engineering Products Segment Revenue Growth %</t>
  </si>
  <si>
    <t xml:space="preserve">E. MARGIN &amp; COST ASSUMPTIONS (% of Revenue unless noted)</t>
  </si>
  <si>
    <t xml:space="preserve">COGS %</t>
  </si>
  <si>
    <t xml:space="preserve">Other Expenses (Selling+Mktg+Admin+Warranty+Other) %</t>
  </si>
  <si>
    <t xml:space="preserve">Implied EBITDA Margin % (memo, computed on Cost_Schedule)</t>
  </si>
  <si>
    <t xml:space="preserve">F. WORKING CAPITAL ASSUMPTIONS (Days)</t>
  </si>
  <si>
    <t xml:space="preserve">Receivable Days (DSO, on revenue)</t>
  </si>
  <si>
    <t xml:space="preserve">Days</t>
  </si>
  <si>
    <t xml:space="preserve">Inventory Days (DIO, on COGS)</t>
  </si>
  <si>
    <t xml:space="preserve">Payable Days (DPO, on COGS)</t>
  </si>
  <si>
    <t xml:space="preserve">Other Current Assets Days (on revenue) - values USED by WC_Schedule</t>
  </si>
  <si>
    <t xml:space="preserve">   Memo: value DISPLAYED on published Assumptions page (not used - see Error_Log E-05)</t>
  </si>
  <si>
    <t xml:space="preserve">Other Current Liabilities Days (on revenue)</t>
  </si>
  <si>
    <t xml:space="preserve">G. DEBT &amp; FINANCING ASSUMPTIONS</t>
  </si>
  <si>
    <t xml:space="preserve">LT Debt Repayment % of Opening Balance</t>
  </si>
  <si>
    <t xml:space="preserve">ST Borrowings % (Receivables + Inventory)</t>
  </si>
  <si>
    <t xml:space="preserve">Average Interest Rate LT (NOT USED in model - see Error_Log E-12)</t>
  </si>
  <si>
    <t xml:space="preserve">Average Interest Rate ST (NOT USED in model - see Error_Log E-12)</t>
  </si>
  <si>
    <t xml:space="preserve">Finance Cost % Revenue (inputs set to reproduce published output; page shows 0.6/0.6/0.5/0.5/0.5)</t>
  </si>
  <si>
    <t xml:space="preserve">Other Income % Revenue (inputs set to reproduce published output; page shows 2.0/1.8/2.0/1.9/2.0)</t>
  </si>
  <si>
    <t xml:space="preserve">H. DIVIDEND</t>
  </si>
  <si>
    <t xml:space="preserve">Dividend per share (Rs) - held flat</t>
  </si>
  <si>
    <t xml:space="preserve">VOLTAS LIMITED - SEGMENT REVENUE BUILD-UP (Volume x Realization)</t>
  </si>
  <si>
    <t xml:space="preserve">SEGMENT 1: UNITARY COOLING PRODUCTS (ROOM AC &amp; COOLERS)</t>
  </si>
  <si>
    <t xml:space="preserve">Volume Growth % YoY</t>
  </si>
  <si>
    <t xml:space="preserve">Realization / ASP Growth % YoY</t>
  </si>
  <si>
    <t xml:space="preserve">RAC Segment Revenue</t>
  </si>
  <si>
    <t xml:space="preserve">SEGMENT 2: ELECTRO-MECHANICAL PROJECTS &amp; SERVICES (EMPS)</t>
  </si>
  <si>
    <t xml:space="preserve">Opening Order Book</t>
  </si>
  <si>
    <t xml:space="preserve">New Order Inflow</t>
  </si>
  <si>
    <t xml:space="preserve">Execution Rate % (of Opening OB + New Orders)</t>
  </si>
  <si>
    <t xml:space="preserve">EMPS Segment Revenue (Revenue Recognized)</t>
  </si>
  <si>
    <t xml:space="preserve">Closing Order Book</t>
  </si>
  <si>
    <t xml:space="preserve">Check: FY26 execution rate recomputed = EMPS revenue / (FY25 closing OB + FY26 new orders)</t>
  </si>
  <si>
    <t xml:space="preserve">Check: FY26 order-book roll-forward = Opening OB + New orders - Revenue - Closing OB (should be 0)</t>
  </si>
  <si>
    <t xml:space="preserve">SEGMENT 3: ENGINEERING PRODUCTS &amp; SERVICES</t>
  </si>
  <si>
    <t xml:space="preserve">Segment Revenue Growth % YoY</t>
  </si>
  <si>
    <t xml:space="preserve">Engineering Products &amp; Services Revenue</t>
  </si>
  <si>
    <t xml:space="preserve">Others / Unallocated Revenue</t>
  </si>
  <si>
    <t xml:space="preserve">TOTAL REVENUE FROM OPERATIONS</t>
  </si>
  <si>
    <t xml:space="preserve">VOLTAS LIMITED - OPERATING COST DRIVER SCHEDULE</t>
  </si>
  <si>
    <t xml:space="preserve">Total Revenue (link)</t>
  </si>
  <si>
    <t xml:space="preserve">Cost of Goods Sold - % of Revenue</t>
  </si>
  <si>
    <t xml:space="preserve">Cost of Goods Sold</t>
  </si>
  <si>
    <t xml:space="preserve">Employee Benefit Expense - % of Revenue</t>
  </si>
  <si>
    <t xml:space="preserve">Other Expenses (Selling+Mktg+Admin+Other) - % of Revenue</t>
  </si>
  <si>
    <t xml:space="preserve">Other Expenses (published label: "Sub-Contracting / Erection Charges (EMPS)" - mislabelled, see E-11)</t>
  </si>
  <si>
    <t xml:space="preserve">Total Operating Expenses</t>
  </si>
  <si>
    <t xml:space="preserve">EBITDA (Revenue - Total Operating Expenses)</t>
  </si>
  <si>
    <t xml:space="preserve">VOLTAS LIMITED - WORKING CAPITAL SCHEDULE</t>
  </si>
  <si>
    <t xml:space="preserve">DAYS OUTSTANDING (Historical = computed | Forecast = Assumptions link)</t>
  </si>
  <si>
    <t xml:space="preserve">Trade Receivable Days (on Revenue)</t>
  </si>
  <si>
    <t xml:space="preserve">Inventory Days (on COGS)</t>
  </si>
  <si>
    <t xml:space="preserve">Trade Payable Days (on COGS)</t>
  </si>
  <si>
    <t xml:space="preserve">Other Current Assets Days (on Revenue)</t>
  </si>
  <si>
    <t xml:space="preserve">Other Current Liabilities Days (on Revenue)</t>
  </si>
  <si>
    <t xml:space="preserve">WORKING CAPITAL BALANCES (Rs Cr)</t>
  </si>
  <si>
    <t xml:space="preserve">Other Current Assets (incl. contract assets)</t>
  </si>
  <si>
    <t xml:space="preserve">Other Current Liabilities</t>
  </si>
  <si>
    <t xml:space="preserve">Net Working Capital (AR+Inv+OCA-AP-OCL)</t>
  </si>
  <si>
    <t xml:space="preserve">(Increase) / Decrease in NWC [Cash Flow Impact]</t>
  </si>
  <si>
    <t xml:space="preserve">VOLTAS LIMITED - CAPEX &amp; DEPRECIATION SCHEDULE</t>
  </si>
  <si>
    <t xml:space="preserve">Total Revenue</t>
  </si>
  <si>
    <t xml:space="preserve">GROSS BLOCK ROLL-FORWARD - PPE (Rs Cr)</t>
  </si>
  <si>
    <t xml:space="preserve">Opening Gross Block</t>
  </si>
  <si>
    <t xml:space="preserve">Add: Capex</t>
  </si>
  <si>
    <t xml:space="preserve">Less: Disposal</t>
  </si>
  <si>
    <t xml:space="preserve">Add: Other adjustments / transfers (shown in PDF as a 2nd "Less: Disposal" row - see E-08)</t>
  </si>
  <si>
    <t xml:space="preserve">Closing Gross Block</t>
  </si>
  <si>
    <t xml:space="preserve">Check: roll-forward difference (rounding in source data)</t>
  </si>
  <si>
    <t xml:space="preserve">DEPRECIATION &amp; ACCUMULATED DEPRECIATION - PPE (Rs Cr)</t>
  </si>
  <si>
    <t xml:space="preserve">Opening Accumulated Depreciation</t>
  </si>
  <si>
    <t xml:space="preserve">Add: Dep exp</t>
  </si>
  <si>
    <t xml:space="preserve">Add: Other adjustments (shown in PDF as a 2nd "Less: Disposal" row)</t>
  </si>
  <si>
    <t xml:space="preserve">Closing Accumulated Depreciation</t>
  </si>
  <si>
    <t xml:space="preserve">Closing Net Block (Gross Block - Acc. Depreciation)</t>
  </si>
  <si>
    <t xml:space="preserve">CAPEX % Sales</t>
  </si>
  <si>
    <t xml:space="preserve">Depreciation % Gross Block</t>
  </si>
  <si>
    <t xml:space="preserve">Avg Life (years)</t>
  </si>
  <si>
    <t xml:space="preserve">DEPRECIATION WATERFALL - PPE (depreciation on each year's capex over average life)</t>
  </si>
  <si>
    <t xml:space="preserve">Depreciation on existing block (held at FY26 level)</t>
  </si>
  <si>
    <t xml:space="preserve">Year 1 capex (Mar-27E)</t>
  </si>
  <si>
    <t xml:space="preserve">Year 2 capex (Mar-28E)</t>
  </si>
  <si>
    <t xml:space="preserve">Year 3 capex (Mar-29E)</t>
  </si>
  <si>
    <t xml:space="preserve">Year 4 capex (Mar-30E)</t>
  </si>
  <si>
    <t xml:space="preserve">Year 5 capex (Mar-31E)</t>
  </si>
  <si>
    <t xml:space="preserve">Total Depreciation - PPE</t>
  </si>
  <si>
    <t xml:space="preserve">GROSS RIGHT OF USE ASSETS (Rs Cr)</t>
  </si>
  <si>
    <t xml:space="preserve">Add: Additions</t>
  </si>
  <si>
    <t xml:space="preserve">DEPRECIATION &amp; ACCUMULATED DEPRECIATION - ROU (Rs Cr)</t>
  </si>
  <si>
    <t xml:space="preserve">Closing Net Block - ROU (forecast rolled from Balance Sheet ROU)</t>
  </si>
  <si>
    <t xml:space="preserve">ROU additions % Sales</t>
  </si>
  <si>
    <t xml:space="preserve">DEPRECIATION WATERFALL - ROU</t>
  </si>
  <si>
    <t xml:space="preserve">Depreciation on existing ROU (calibrated input; FY26 shown as 11)</t>
  </si>
  <si>
    <t xml:space="preserve">Year 1 additions (Mar-27E)</t>
  </si>
  <si>
    <t xml:space="preserve">Year 2 additions (Mar-28E)</t>
  </si>
  <si>
    <t xml:space="preserve">Year 3 additions (Mar-29E)</t>
  </si>
  <si>
    <t xml:space="preserve">Year 4 additions (Mar-30E)</t>
  </si>
  <si>
    <t xml:space="preserve">Year 5 additions (Mar-31E)</t>
  </si>
  <si>
    <t xml:space="preserve">Total Depreciation - ROU</t>
  </si>
  <si>
    <t xml:space="preserve">TOTALS TO INCOME STATEMENT / CASH FLOW</t>
  </si>
  <si>
    <t xml:space="preserve">Total D&amp;A (PPE + ROU; FY23-26 incl. intangibles per Hist_IS)</t>
  </si>
  <si>
    <t xml:space="preserve">Total Capex incl. ROU additions</t>
  </si>
  <si>
    <t xml:space="preserve">VOLTAS LIMITED - DEBT SCHEDULE</t>
  </si>
  <si>
    <t xml:space="preserve">LONG TERM BORROWINGS</t>
  </si>
  <si>
    <t xml:space="preserve">Long Term Debt - Opening Balance</t>
  </si>
  <si>
    <t xml:space="preserve">Long Term Debt - New Borrowings / Additions</t>
  </si>
  <si>
    <t xml:space="preserve">Long Term Debt - Repayments (% of opening balance)</t>
  </si>
  <si>
    <t xml:space="preserve">Long Term Debt - Closing Balance</t>
  </si>
  <si>
    <t xml:space="preserve">SHORT TERM BORROWINGS</t>
  </si>
  <si>
    <t xml:space="preserve">Short Term Borrowings - Opening</t>
  </si>
  <si>
    <t xml:space="preserve">Net increase / (decrease) (published label: "Short Term Borrowings % (Receivables + Inventories)" - see E-09)</t>
  </si>
  <si>
    <t xml:space="preserve">Short Term Borrowings - Closing Balance (= % x (Receivables + Inventories))</t>
  </si>
  <si>
    <t xml:space="preserve">LEASE LIABILITIES</t>
  </si>
  <si>
    <t xml:space="preserve">Lease Liabilities (Non-Current, labelled "Total" in PDF) - Opening</t>
  </si>
  <si>
    <t xml:space="preserve">New Borrowings / Additions</t>
  </si>
  <si>
    <t xml:space="preserve">Repayments</t>
  </si>
  <si>
    <t xml:space="preserve">Lease Liabilities (Non-Current) - Closing Balance</t>
  </si>
  <si>
    <t xml:space="preserve">TOTAL DEBT (Closing Balance) - as published (excl. current lease liabilities)</t>
  </si>
  <si>
    <t xml:space="preserve">Memo: Lease liabilities (Current) - omitted from published total debt</t>
  </si>
  <si>
    <t xml:space="preserve">Total debt incl. current lease liabilities</t>
  </si>
  <si>
    <t xml:space="preserve">Borrowings only (LT + ST) - used in Ratios EV / Net debt</t>
  </si>
  <si>
    <t xml:space="preserve">VOLTAS LIMITED - EQUITY, SHARE CAPITAL &amp; DIVIDEND SCHEDULE</t>
  </si>
  <si>
    <t xml:space="preserve">Non-Controlling Interest (held flat)</t>
  </si>
  <si>
    <t xml:space="preserve">OTHER EQUITY ROLL-FORWARD</t>
  </si>
  <si>
    <t xml:space="preserve">Opening Other Equity</t>
  </si>
  <si>
    <t xml:space="preserve">Add: Net profit attributable to owners</t>
  </si>
  <si>
    <t xml:space="preserve">Dividend per share (Rs)</t>
  </si>
  <si>
    <t xml:space="preserve">Less: Dividend paid (DPS x shares)</t>
  </si>
  <si>
    <t xml:space="preserve">Closing Other Equity</t>
  </si>
  <si>
    <t xml:space="preserve">VOLTAS LIMITED - INTEGRATED INCOME STATEMENT</t>
  </si>
  <si>
    <t xml:space="preserve">Revenue Growth % YoY</t>
  </si>
  <si>
    <t xml:space="preserve">Other Expenses (Selling+Mktg+Admin+Warranty+Other)</t>
  </si>
  <si>
    <t xml:space="preserve">Share of Profit from Associates / JV (held at FY26 level)</t>
  </si>
  <si>
    <t xml:space="preserve">Tax Expense</t>
  </si>
  <si>
    <t xml:space="preserve">Diluted Weighted Avg. Shares Outstanding (Cr)</t>
  </si>
  <si>
    <t xml:space="preserve">VOLTAS LIMITED - INTEGRATED BALANCE SHEET</t>
  </si>
  <si>
    <t xml:space="preserve">Other Current Assets (incl. Contract Assets)</t>
  </si>
  <si>
    <t xml:space="preserve">BALANCE CHECK: Total Assets - Total Equity &amp; Liabilities (opening FY26 source data differs by 1 due to rounding; carried forward)</t>
  </si>
  <si>
    <t xml:space="preserve">VOLTAS LIMITED - CASH FLOW STATEMENT (INDIRECT METHOD)</t>
  </si>
  <si>
    <t xml:space="preserve">Other Non-Cash Adjustments (forecast: nil - see E-13 on JV loss)</t>
  </si>
  <si>
    <t xml:space="preserve">Purchase of PPE / Capex (forecast incl. ROU additions)</t>
  </si>
  <si>
    <t xml:space="preserve">Purchase / Sale of Investments (Net)</t>
  </si>
  <si>
    <t xml:space="preserve">Proceeds from Borrowings (LT+ST)</t>
  </si>
  <si>
    <t xml:space="preserve">Repayment of Borrowings (LT+ST)</t>
  </si>
  <si>
    <t xml:space="preserve">Buyback of Shares / Other Financing</t>
  </si>
  <si>
    <t xml:space="preserve">FREE CASH FLOW TO FIRM (FCFF) &amp; FREE CASH FLOW TO EQUITY (FCFE) - AS PUBLISHED</t>
  </si>
  <si>
    <t xml:space="preserve">Tax rate applied (historical = effective rate; forecast = Assumptions)</t>
  </si>
  <si>
    <t xml:space="preserve">Less: Tax on EBIT (at Effective Tax Rate)</t>
  </si>
  <si>
    <t xml:space="preserve">NOPAT (EBIT x (1-t))</t>
  </si>
  <si>
    <t xml:space="preserve">Less: Capex - AS PUBLISHED (PPE capex MINUS ROU additions - sign error, see E-01)</t>
  </si>
  <si>
    <t xml:space="preserve">Less: Increase in Net Working Capital</t>
  </si>
  <si>
    <t xml:space="preserve">FREE CASH FLOW TO FIRM (FCFF) - as published</t>
  </si>
  <si>
    <t xml:space="preserve">Less: After-Tax Interest Expense</t>
  </si>
  <si>
    <t xml:space="preserve">Add: Net Borrowings (New Debt - Repayments)</t>
  </si>
  <si>
    <t xml:space="preserve">FREE CASH FLOW TO EQUITY (FCFE)</t>
  </si>
  <si>
    <t xml:space="preserve">CORRECTED FCFF (added by reviewer)</t>
  </si>
  <si>
    <t xml:space="preserve">Less: Capex - CORRECTED (PPE capex PLUS ROU additions = Cash Flow capex)</t>
  </si>
  <si>
    <t xml:space="preserve">FREE CASH FLOW TO FIRM (FCFF) - corrected</t>
  </si>
  <si>
    <t xml:space="preserve">Overstatement of published FCFF</t>
  </si>
  <si>
    <t xml:space="preserve">Cash per Balance Sheet</t>
  </si>
  <si>
    <t xml:space="preserve">VOLTAS LIMITED - RATIO ANALYSIS</t>
  </si>
  <si>
    <t xml:space="preserve">PROFITABILITY RATIOS</t>
  </si>
  <si>
    <t xml:space="preserve">Gross Margin % ((Rev-COGS)/Rev)</t>
  </si>
  <si>
    <t xml:space="preserve">Net (PAT) Margin %</t>
  </si>
  <si>
    <t xml:space="preserve">Return on Equity (ROE) % (PAT / average equity; FY23 on closing)</t>
  </si>
  <si>
    <t xml:space="preserve">Return on Capital Employed (ROCE) % (EBIT / (Equity + Debt))</t>
  </si>
  <si>
    <t xml:space="preserve">Return on Assets (ROA) % (PAT / closing total assets)</t>
  </si>
  <si>
    <t xml:space="preserve">LIQUIDITY RATIOS</t>
  </si>
  <si>
    <t xml:space="preserve">Current Ratio (x)</t>
  </si>
  <si>
    <t xml:space="preserve">Quick Ratio (x)</t>
  </si>
  <si>
    <t xml:space="preserve">Cash Ratio (x)</t>
  </si>
  <si>
    <t xml:space="preserve">EFFICIENCY RATIOS</t>
  </si>
  <si>
    <t xml:space="preserve">Asset Turnover (x)</t>
  </si>
  <si>
    <t xml:space="preserve">Inventory Turnover (x)</t>
  </si>
  <si>
    <t xml:space="preserve">Receivable Days</t>
  </si>
  <si>
    <t xml:space="preserve">Payable Days</t>
  </si>
  <si>
    <t xml:space="preserve">Cash Conversion Cycle (Days) = DSO + DIO - DPO</t>
  </si>
  <si>
    <t xml:space="preserve">LEVERAGE RATIOS</t>
  </si>
  <si>
    <t xml:space="preserve">Debt / Equity (x)</t>
  </si>
  <si>
    <t xml:space="preserve">Interest Coverage Ratio (EBIT/Interest) (x)</t>
  </si>
  <si>
    <t xml:space="preserve">Net Debt / EBITDA (x) (borrowings LT+ST less cash)</t>
  </si>
  <si>
    <t xml:space="preserve">MARKET DATA FOR VALUATION RATIOS</t>
  </si>
  <si>
    <t xml:space="preserve">Share price used (Rs) [hist: year-end price; forecast: current price]</t>
  </si>
  <si>
    <t xml:space="preserve">Market capitalisation (Rs Cr)</t>
  </si>
  <si>
    <t xml:space="preserve">Enterprise value (Rs Cr) = Mkt cap + borrowings - cash</t>
  </si>
  <si>
    <t xml:space="preserve">VALUATION RATIOS (based on the share price above)</t>
  </si>
  <si>
    <t xml:space="preserve">EV / EBITDA (x)</t>
  </si>
  <si>
    <t xml:space="preserve">P/E (x)</t>
  </si>
  <si>
    <t xml:space="preserve">P/B (x)</t>
  </si>
  <si>
    <t xml:space="preserve">Dividend Yield %</t>
  </si>
  <si>
    <t xml:space="preserve">VOLTAS LIMITED - PEER MARKET DATA &amp; WEEKLY PRICE HISTORY (inputs to beta)</t>
  </si>
  <si>
    <t xml:space="preserve">Source: Screener.in / exchange prices as shown in the report (INR Crore unless stated). Blue = hard-coded from report.</t>
  </si>
  <si>
    <t xml:space="preserve">S.No.</t>
  </si>
  <si>
    <t xml:space="preserve">Company</t>
  </si>
  <si>
    <t xml:space="preserve">CMP Rs.</t>
  </si>
  <si>
    <t xml:space="preserve">Debt Rs.Cr.</t>
  </si>
  <si>
    <t xml:space="preserve">No. Eq. Shares Cr.</t>
  </si>
  <si>
    <t xml:space="preserve">Market Value of Equity</t>
  </si>
  <si>
    <t xml:space="preserve">EV Rs.Cr.</t>
  </si>
  <si>
    <t xml:space="preserve">Cash End Rs.Cr.</t>
  </si>
  <si>
    <t xml:space="preserve">Sales Rs.Cr.</t>
  </si>
  <si>
    <t xml:space="preserve">NP 12M Rs.Cr.</t>
  </si>
  <si>
    <t xml:space="preserve">Ind PE</t>
  </si>
  <si>
    <t xml:space="preserve">Debt / Eq</t>
  </si>
  <si>
    <t xml:space="preserve">EBITDA Cr.</t>
  </si>
  <si>
    <t xml:space="preserve">Net Debt (=Debt-Cash)</t>
  </si>
  <si>
    <t xml:space="preserve">Check: CMP x Shares - Mkt cap</t>
  </si>
  <si>
    <t xml:space="preserve">LG Electronics</t>
  </si>
  <si>
    <t xml:space="preserve">Voltas</t>
  </si>
  <si>
    <t xml:space="preserve">Blue Star</t>
  </si>
  <si>
    <t xml:space="preserve">Amber Enterp.</t>
  </si>
  <si>
    <t xml:space="preserve">Crompton Gr. Con</t>
  </si>
  <si>
    <t xml:space="preserve">Levered beta vs Nifty (SLOPE of weekly returns)</t>
  </si>
  <si>
    <t xml:space="preserve">Published (WACC sheet): LG 0.74 | Voltas 0.93 | Blue Star 1.18 | Amber 1.63 | Crompton 1.14</t>
  </si>
  <si>
    <t xml:space="preserve">No. of weekly return observations</t>
  </si>
  <si>
    <t xml:space="preserve">LG listed Oct-2025, so fewer observations; Nifty beta = 1.000 by construction</t>
  </si>
  <si>
    <t xml:space="preserve">WEEKLY PRICE HISTORY (Rs; Nifty in index points) AND WEEKLY RETURNS - base for regression beta</t>
  </si>
  <si>
    <t xml:space="preserve">Date</t>
  </si>
  <si>
    <t xml:space="preserve">Nifty</t>
  </si>
  <si>
    <t xml:space="preserve">LG</t>
  </si>
  <si>
    <t xml:space="preserve">Amber</t>
  </si>
  <si>
    <t xml:space="preserve">Crompton</t>
  </si>
  <si>
    <t xml:space="preserve">Voltas ret</t>
  </si>
  <si>
    <t xml:space="preserve">Nifty ret</t>
  </si>
  <si>
    <t xml:space="preserve">LG ret</t>
  </si>
  <si>
    <t xml:space="preserve">Blue Star ret</t>
  </si>
  <si>
    <t xml:space="preserve">Amber ret</t>
  </si>
  <si>
    <t xml:space="preserve">Crompton ret</t>
  </si>
  <si>
    <t xml:space="preserve">VOLTAS LIMITED - CAPITAL STRUCTURE, COST OF CAPITAL &amp; WACC</t>
  </si>
  <si>
    <t xml:space="preserve">Weighted Average Cost of Capital - peer beta analysis</t>
  </si>
  <si>
    <t xml:space="preserve">Name of Comps</t>
  </si>
  <si>
    <t xml:space="preserve">Country</t>
  </si>
  <si>
    <t xml:space="preserve">Total Debt</t>
  </si>
  <si>
    <t xml:space="preserve">Total Market Cap</t>
  </si>
  <si>
    <t xml:space="preserve">Tax Rate</t>
  </si>
  <si>
    <t xml:space="preserve">Debt / Capital</t>
  </si>
  <si>
    <t xml:space="preserve">Levered Beta</t>
  </si>
  <si>
    <t xml:space="preserve">Unlevered Beta</t>
  </si>
  <si>
    <t xml:space="preserve">India</t>
  </si>
  <si>
    <t xml:space="preserve">Average</t>
  </si>
  <si>
    <t xml:space="preserve">Median</t>
  </si>
  <si>
    <t xml:space="preserve">Cost of Debt</t>
  </si>
  <si>
    <t xml:space="preserve">Risk-Free Rate</t>
  </si>
  <si>
    <t xml:space="preserve">Credit Spread</t>
  </si>
  <si>
    <t xml:space="preserve">Pre-Tax Cost of Debt (published page displays 7.9%; 7.4% + 0.6% = 8.0%)</t>
  </si>
  <si>
    <t xml:space="preserve">After Tax Cost of Debt</t>
  </si>
  <si>
    <t xml:space="preserve">Capital Structure</t>
  </si>
  <si>
    <t xml:space="preserve">Current (Rs Cr)</t>
  </si>
  <si>
    <t xml:space="preserve">Current %</t>
  </si>
  <si>
    <t xml:space="preserve">Target %</t>
  </si>
  <si>
    <t xml:space="preserve">Market Cap</t>
  </si>
  <si>
    <t xml:space="preserve">Total Capitalization</t>
  </si>
  <si>
    <t xml:space="preserve">Debt / Market cap</t>
  </si>
  <si>
    <t xml:space="preserve">Levered Beta (re-levered at target capital structure)</t>
  </si>
  <si>
    <t xml:space="preserve">Comps Median Unlevered Beta</t>
  </si>
  <si>
    <t xml:space="preserve">Target Debt / Market cap</t>
  </si>
  <si>
    <t xml:space="preserve">Cost of Equity</t>
  </si>
  <si>
    <t xml:space="preserve">Equity Risk Premium</t>
  </si>
  <si>
    <t xml:space="preserve">Weighted Average Cost of Capital (explicit forecast period)</t>
  </si>
  <si>
    <t xml:space="preserve">Weight of Equity</t>
  </si>
  <si>
    <t xml:space="preserve">Cost of Debt (after tax)</t>
  </si>
  <si>
    <t xml:space="preserve">Weight of Debt</t>
  </si>
  <si>
    <t xml:space="preserve">WACC Calculation for Terminal Value (published uses a separate set of inputs - see Error_Log E-03)</t>
  </si>
  <si>
    <t xml:space="preserve">Levered Beta (hard-coded 1.00 in report)</t>
  </si>
  <si>
    <t xml:space="preserve">WACC (terminal value)</t>
  </si>
  <si>
    <t xml:space="preserve">Published values: WACC (explicit) 13.7% | WACC (terminal) 12.9% | Cost of equity 13.8% | After-tax Kd 6.0% | Levered beta 1.14</t>
  </si>
  <si>
    <t xml:space="preserve">VOLTAS LIMITED - DCF VALUATION (FCFF APPROACH)</t>
  </si>
  <si>
    <t xml:space="preserve">INR Crore unless stated. Section A replicates the published DCF; Section B isolates the effect of the errors found; Section C is a corrected sensitivity.</t>
  </si>
  <si>
    <t xml:space="preserve">A. DCF AS PUBLISHED (with the published FCFF)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</si>
  <si>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</si>
  <si>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</si>
  <si>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</si>
  <si>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</si>
  <si>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</si>
  <si>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(published header shows FY26E-FY30E - label error, see E-02)</t>
  </si>
  <si>
    <t xml:space="preserve">Free Cash Flow to Firm (FCFF) - as published</t>
  </si>
  <si>
    <t xml:space="preserve">Discount Period (Mid-Year Convention)</t>
  </si>
  <si>
    <t xml:space="preserve">Discount Factor = 1/(1+WACC)^period</t>
  </si>
  <si>
    <t xml:space="preserve">Present Value of FCFF (as published)</t>
  </si>
  <si>
    <t xml:space="preserve">FCFF - corrected (capex incl. ROU additions)</t>
  </si>
  <si>
    <t xml:space="preserve">Present Value of FCFF (corrected)</t>
  </si>
  <si>
    <t xml:space="preserve">Discount rates</t>
  </si>
  <si>
    <t xml:space="preserve">WACC - explicit forecast period</t>
  </si>
  <si>
    <t xml:space="preserve">WACC - terminal value (separate calculation in report)</t>
  </si>
  <si>
    <t xml:space="preserve">Terminal growth rate (g) (published links g to the risk-free rate - see E-14)</t>
  </si>
  <si>
    <t xml:space="preserve">TERMINAL VALUE - Gordon Growth Method (published)</t>
  </si>
  <si>
    <t xml:space="preserve">Terminal Year FCFF x (1+g)</t>
  </si>
  <si>
    <t xml:space="preserve">Terminal Value = TY FCFF(1+g) / (WACC - g)</t>
  </si>
  <si>
    <t xml:space="preserve">PV of Terminal Value (discounted at FY31E mid-year factor, as published)</t>
  </si>
  <si>
    <t xml:space="preserve">ENTERPRISE VALUE TO INTRINSIC VALUE PER SHARE (Base: Gordon Growth) - as published</t>
  </si>
  <si>
    <t xml:space="preserve">Sum of PV of Explicit FCFF (FY27E-FY31E)</t>
  </si>
  <si>
    <t xml:space="preserve">Add: PV of Terminal Value</t>
  </si>
  <si>
    <t xml:space="preserve">Enterprise Value (EV)</t>
  </si>
  <si>
    <t xml:space="preserve">Less: Net Debt (total debt per Debt_Schedule less cash, 31-Mar-26)</t>
  </si>
  <si>
    <t xml:space="preserve">Equity Value</t>
  </si>
  <si>
    <t xml:space="preserve">Diluted Shares Outstanding (Cr)</t>
  </si>
  <si>
    <t xml:space="preserve">INTRINSIC VALUE PER SHARE (Rs)</t>
  </si>
  <si>
    <t xml:space="preserve">Current Market Price (Rs)</t>
  </si>
  <si>
    <t xml:space="preserve">Upside / (Downside) %</t>
  </si>
  <si>
    <t xml:space="preserve">B. EFFECT OF CORRECTIONS ON DCF VALUE (reviewer analysis)</t>
  </si>
  <si>
    <t xml:space="preserve">Step</t>
  </si>
  <si>
    <t xml:space="preserve">As published</t>
  </si>
  <si>
    <t xml:space="preserve">Fix 1: capex sign (E-01)</t>
  </si>
  <si>
    <t xml:space="preserve">Fix 1 + Fix 2: one WACC (E-03)</t>
  </si>
  <si>
    <t xml:space="preserve">FCFF series used</t>
  </si>
  <si>
    <t xml:space="preserve">WACC used for terminal value</t>
  </si>
  <si>
    <t xml:space="preserve">Sum of PV of explicit FCFF</t>
  </si>
  <si>
    <t xml:space="preserve">Terminal-year FCFF</t>
  </si>
  <si>
    <t xml:space="preserve">Terminal value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</si>
  <si>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</si>
  <si>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</si>
  <si>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</si>
  <si>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</si>
  <si>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Value per share (Rs)</t>
  </si>
  <si>
    <t xml:space="preserve">Upside / (downside) vs CMP</t>
  </si>
  <si>
    <t xml:space="preserve">Change in value per share vs published (Rs)</t>
  </si>
  <si>
    <t xml:space="preserve">Memo: non-operating investments excluded from DCF equity bridge (non-current + current investments, 31-Mar-26, book value)</t>
  </si>
  <si>
    <t xml:space="preserve">Memo: value per share if these investments were added (Rs) - not applied above (see E-15)</t>
  </si>
  <si>
    <t xml:space="preserve">C. SENSITIVITY - corrected FCFF, single WACC for explicit and terminal periods: value per share (Rs)</t>
  </si>
  <si>
    <t xml:space="preserve">WACC (down) / terminal growth g (across)</t>
  </si>
  <si>
    <t xml:space="preserve">Centre cell equals Section B, column D (check):</t>
  </si>
  <si>
    <t xml:space="preserve">VOLTAS LIMITED - COMPARABLE COMPANY VALUATION (Figures in Rs Crore)</t>
  </si>
  <si>
    <t xml:space="preserve">Source: Screener.in (as shown in report). Blue = inputs from report.</t>
  </si>
  <si>
    <t xml:space="preserve">Share Price</t>
  </si>
  <si>
    <t xml:space="preserve">Shares Outstanding</t>
  </si>
  <si>
    <t xml:space="preserve">Net Debt</t>
  </si>
  <si>
    <t xml:space="preserve">Enterprise Value</t>
  </si>
  <si>
    <t xml:space="preserve">Revenue</t>
  </si>
  <si>
    <t xml:space="preserve">Net Income</t>
  </si>
  <si>
    <t xml:space="preserve">EV/Revenue</t>
  </si>
  <si>
    <t xml:space="preserve">EV/EBITDA</t>
  </si>
  <si>
    <t xml:space="preserve">P/E</t>
  </si>
  <si>
    <t xml:space="preserve">75th Percentile</t>
  </si>
  <si>
    <t xml:space="preserve">25th Percentile</t>
  </si>
  <si>
    <t xml:space="preserve">Voltas Implied Valuation (Peer Multiples) - as published (peer statistics INCLUDE Voltas itself - see E-06)</t>
  </si>
  <si>
    <t xml:space="preserve">Implied Enterprise Value</t>
  </si>
  <si>
    <t xml:space="preserve">Implied Market Value</t>
  </si>
  <si>
    <t xml:space="preserve">Implied Value per Share (Rs)</t>
  </si>
  <si>
    <t xml:space="preserve">Weight</t>
  </si>
  <si>
    <t xml:space="preserve">Implied Target Price (Rs) - as published</t>
  </si>
  <si>
    <t xml:space="preserve">Check: weights total 100% (must be zero)</t>
  </si>
  <si>
    <t xml:space="preserve">CORRECTED: peer statistics EXCLUDING Voltas (the company being valued)</t>
  </si>
  <si>
    <t xml:space="preserve">Peer (ex-Voltas)</t>
  </si>
  <si>
    <t xml:space="preserve">Median (ex-Voltas)</t>
  </si>
  <si>
    <t xml:space="preserve">Average (ex-Voltas)</t>
  </si>
  <si>
    <t xml:space="preserve">Implied Target Price (Rs) - corrected (same 20/60/20 weights)</t>
  </si>
  <si>
    <t xml:space="preserve">Note: Voltas EBITDA 516.3 (Screener) = model FY26 EBITDA 647 less share of JV loss 131; peer inputs on this page differ from the Market_Data / WACC sheets (e.g. Amber price 6,668 vs 6,688.55; Net income, Sales) - see E-16.</t>
  </si>
  <si>
    <t xml:space="preserve">Peer multiples - how to choose each segment's multiple</t>
  </si>
  <si>
    <t xml:space="preserve">UCP (room AC, commercial AC &amp; refrigeration)</t>
  </si>
  <si>
    <t xml:space="preserve">Price (Rs)</t>
  </si>
  <si>
    <t xml:space="preserve">EPS FY27E (Rs)</t>
  </si>
  <si>
    <t xml:space="preserve">EPS FY28E (Rs)</t>
  </si>
  <si>
    <t xml:space="preserve">P/E FY27E</t>
  </si>
  <si>
    <t xml:space="preserve">P/E FY28E</t>
  </si>
  <si>
    <t xml:space="preserve">Source / date</t>
  </si>
  <si>
    <t xml:space="preserve">Price 7-Aug-26 from Motilal Oswal Report</t>
  </si>
  <si>
    <t xml:space="preserve">LG Electronics India</t>
  </si>
  <si>
    <t xml:space="preserve">Price 14-Aug-26; MOFSL</t>
  </si>
  <si>
    <t xml:space="preserve">Havells India</t>
  </si>
  <si>
    <t xml:space="preserve">LPK Securities Ltd 21 Jul 26</t>
  </si>
  <si>
    <t xml:space="preserve">Peer median</t>
  </si>
  <si>
    <t xml:space="preserve">Voltas (reference only - excluded from median)</t>
  </si>
  <si>
    <t xml:space="preserve">Voltas premium / (discount) to peer median (FY28E)</t>
  </si>
  <si>
    <t xml:space="preserve">ADJUSTMENTS TO THE PEER MEDIAN</t>
  </si>
  <si>
    <t xml:space="preserve">Timing: valuing FY29E profit at Sep-28, growth will have slowed</t>
  </si>
  <si>
    <t xml:space="preserve">Earnings volatility: UCP margin fell from 8.4% to 3.2% in FY26</t>
  </si>
  <si>
    <t xml:space="preserve">Market leadership: largest RAC share, widest lead over No. 2</t>
  </si>
  <si>
    <t xml:space="preserve">Net adjustment</t>
  </si>
  <si>
    <t xml:space="preserve">Suggested UCP multiple (P/E FY28E median x (1 + net adjustment))</t>
  </si>
  <si>
    <t xml:space="preserve">EMPS (electro-mechanical projects) - EPC peers</t>
  </si>
  <si>
    <t xml:space="preserve">Kalpataru Projects (target multiple)</t>
  </si>
  <si>
    <t xml:space="preserve">Price 11-Aug-26 from Motilal Oswal Report</t>
  </si>
  <si>
    <t xml:space="preserve">KEC International (target multiple)</t>
  </si>
  <si>
    <t xml:space="preserve">Blue Star (shown for reference; excluded from median as in report)</t>
  </si>
  <si>
    <t xml:space="preserve">Peer median (Kalpataru &amp; KEC)</t>
  </si>
  <si>
    <t xml:space="preserve">Suggested EMPS multiple</t>
  </si>
  <si>
    <t xml:space="preserve">EP&amp;S (mining, construction &amp; textile machinery) - equipment peers</t>
  </si>
  <si>
    <t xml:space="preserve">Multiple (x)</t>
  </si>
  <si>
    <t xml:space="preserve">Elecon Engineering (Axis Direct)</t>
  </si>
  <si>
    <t xml:space="preserve">Target P/E on FY28E EPS Axis Direct 22-Jul 26</t>
  </si>
  <si>
    <t xml:space="preserve">Suggested EP&amp;S multiple</t>
  </si>
  <si>
    <t xml:space="preserve">Voltas Ltd - Sum-of-the-Parts (SoTP) Valuation</t>
  </si>
  <si>
    <t xml:space="preserve">A. KEY INPUTS</t>
  </si>
  <si>
    <t xml:space="preserve">Current share price (Rs)</t>
  </si>
  <si>
    <t xml:space="preserve">Shares outstanding (crore)</t>
  </si>
  <si>
    <t xml:space="preserve">Tax rate (note: forecast model uses 30%; SoTP uses 25% - see E-17)</t>
  </si>
  <si>
    <t xml:space="preserve">Years from today to valuation date</t>
  </si>
  <si>
    <t xml:space="preserve">Model FY29E EBIT (Rs cr) - for tie-out check</t>
  </si>
  <si>
    <t xml:space="preserve">B. SEGMENT VALUATION (FY29E)</t>
  </si>
  <si>
    <t xml:space="preserve">Segment</t>
  </si>
  <si>
    <t xml:space="preserve">FY29E revenue</t>
  </si>
  <si>
    <t xml:space="preserve">EBIT margin</t>
  </si>
  <si>
    <t xml:space="preserve">Revenue share</t>
  </si>
  <si>
    <t xml:space="preserve">EBIT after allocation</t>
  </si>
  <si>
    <t xml:space="preserve">Tax</t>
  </si>
  <si>
    <t xml:space="preserve">Profit after tax</t>
  </si>
  <si>
    <t xml:space="preserve">Multiple (Peer Median)</t>
  </si>
  <si>
    <t xml:space="preserve">Value (Rs cr)</t>
  </si>
  <si>
    <t xml:space="preserve">EMPS (electro-mechanical projects)</t>
  </si>
  <si>
    <t xml:space="preserve">EP&amp;S (mining, construction, textile machinery)</t>
  </si>
  <si>
    <t xml:space="preserve">Other Unallocated</t>
  </si>
  <si>
    <t xml:space="preserve">Total</t>
  </si>
  <si>
    <t xml:space="preserve">Tie-out: SoTP segment EBIT less model FY29E EBIT (should be ~0 - see E-18)</t>
  </si>
  <si>
    <t xml:space="preserve">C. EQUITY VALUE BRIDGE</t>
  </si>
  <si>
    <t xml:space="preserve">Corrected (discounted)</t>
  </si>
  <si>
    <t xml:space="preserve">Note</t>
  </si>
  <si>
    <t xml:space="preserve">Operating value at valuation date (Rs cr)</t>
  </si>
  <si>
    <t xml:space="preserve">Discount factor (published 1.000 despite 1.9 years; corrected = 1/(1+cost of equity)^years)</t>
  </si>
  <si>
    <t xml:space="preserve">Present value of operating value</t>
  </si>
  <si>
    <t xml:space="preserve">Add: cash and bank balances</t>
  </si>
  <si>
    <t xml:space="preserve">Mar-26 balance sheet (Hist_BS).</t>
  </si>
  <si>
    <t xml:space="preserve">Less: borrowings incl. leases</t>
  </si>
  <si>
    <t xml:space="preserve">Report note: term loan 423 + working-capital debt 544 + leases ~15 = 982 (not 992) - see E-19</t>
  </si>
  <si>
    <t xml:space="preserve">Add: Voltbek JV stake at book value</t>
  </si>
  <si>
    <t xml:space="preserve">FY26 annual report investment note (Rs 129.93 cr).</t>
  </si>
  <si>
    <t xml:space="preserve">Net non-operating items</t>
  </si>
  <si>
    <t xml:space="preserve">Equity value (Rs cr)</t>
  </si>
  <si>
    <t xml:space="preserve">Current price (Rs)</t>
  </si>
  <si>
    <t xml:space="preserve">Upside / (downside)</t>
  </si>
  <si>
    <t xml:space="preserve">D. SCENARIOS (Low / Base / High)</t>
  </si>
  <si>
    <t xml:space="preserve">Base</t>
  </si>
  <si>
    <t xml:space="preserve">UCP EBIT margin</t>
  </si>
  <si>
    <t xml:space="preserve">EMPS EBIT margin</t>
  </si>
  <si>
    <t xml:space="preserve">EP&amp;S EBIT margin</t>
  </si>
  <si>
    <t xml:space="preserve">UCP multiple (x)</t>
  </si>
  <si>
    <t xml:space="preserve">EMPS multiple (x)</t>
  </si>
  <si>
    <t xml:space="preserve">EP&amp;S multiple (x)</t>
  </si>
  <si>
    <t xml:space="preserve">UCP profit after tax</t>
  </si>
  <si>
    <t xml:space="preserve">EMPS profit after tax</t>
  </si>
  <si>
    <t xml:space="preserve">EP&amp;S profit after tax</t>
  </si>
  <si>
    <t xml:space="preserve">Operating value (Rs cr)</t>
  </si>
  <si>
    <t xml:space="preserve">Equity value (Rs cr) - as published</t>
  </si>
  <si>
    <t xml:space="preserve">Value per share (Rs) - as published</t>
  </si>
  <si>
    <t xml:space="preserve">Upside / (downside) - as published</t>
  </si>
  <si>
    <t xml:space="preserve">Value per share (Rs) - corrected (discounted)</t>
  </si>
  <si>
    <t xml:space="preserve">Base column links to the inputs in Section B, so it always equals the main result. Check (must be zero):</t>
  </si>
  <si>
    <t xml:space="preserve">E. SENSITIVITY - value per share (Rs): UCP multiple vs UCP EBIT margin (as published, undiscounted)</t>
  </si>
  <si>
    <t xml:space="preserve">UCP margin (down) / UCP multiple (across)</t>
  </si>
  <si>
    <t xml:space="preserve">Centre cell equals base value per share (check, must be zero):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</si>
</sst>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.0000;\(#,##0.0000\);\-"/>
    <numFmt numFmtId="166" formatCode="0.0000"/>
    <numFmt numFmtId="167" formatCode="0"/>
    <numFmt numFmtId="168" formatCode="#,##0;\(#,##0\);\-"/>
    <numFmt numFmtId="169" formatCode="#,##0.00;\(#,##0.00\);\-"/>
    <numFmt numFmtId="170" formatCode="0.000"/>
    <numFmt numFmtId="171" formatCode="0.0%;\(0.0%\);\-"/>
    <numFmt numFmtId="172" formatCode="0.0\x"/>
    <numFmt numFmtId="173" formatCode="0.00"/>
    <numFmt numFmtId="174" formatCode="#,##0.0;\(#,##0.0\);\-"/>
    <numFmt numFmtId="175" formatCode="0.00%;\(0.00%\);\-"/>
    <numFmt numFmtId="176" formatCode="0.0"/>
    <numFmt numFmtId="177" formatCode="0.00\x;\(0.00&quot;x)&quot;;\-"/>
    <numFmt numFmtId="178" formatCode="yyyy\-mm\-dd"/>
    <numFmt numFmtId="179" formatCode="#,##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C65911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808080"/>
        <bgColor rgb="FF969696"/>
      </patternFill>
    </fill>
    <fill>
      <patternFill patternType="solid">
        <fgColor rgb="FFFFF2CC"/>
        <bgColor rgb="FFE2EFDA"/>
      </patternFill>
    </fill>
    <fill>
      <patternFill patternType="solid">
        <fgColor rgb="FFDCE6F1"/>
        <bgColor rgb="FFE2EFDA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4" fontId="1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5" fontId="1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Voltas_Financial_Model.xlsx" TargetMode="External"/><Relationship Id="rId2" Type="http://schemas.openxmlformats.org/officeDocument/2006/relationships/hyperlink" Target="Voltas_Financial_Model.xlsx" TargetMode="External"/><Relationship Id="rId3" Type="http://schemas.openxmlformats.org/officeDocument/2006/relationships/hyperlink" Target="Voltas_Financial_Model.xlsx" TargetMode="External"/><Relationship Id="rId4" Type="http://schemas.openxmlformats.org/officeDocument/2006/relationships/hyperlink" Target="Voltas_Financial_Model.xlsx" TargetMode="External"/><Relationship Id="rId5" Type="http://schemas.openxmlformats.org/officeDocument/2006/relationships/hyperlink" Target="Voltas_Financial_Model.xlsx" TargetMode="External"/><Relationship Id="rId6" Type="http://schemas.openxmlformats.org/officeDocument/2006/relationships/hyperlink" Target="Voltas_Financial_Model.xlsx" TargetMode="External"/><Relationship Id="rId7" Type="http://schemas.openxmlformats.org/officeDocument/2006/relationships/hyperlink" Target="Voltas_Financial_Model.xlsx" TargetMode="External"/><Relationship Id="rId8" Type="http://schemas.openxmlformats.org/officeDocument/2006/relationships/hyperlink" Target="Voltas_Financial_Model.xlsx" TargetMode="External"/><Relationship Id="rId9" Type="http://schemas.openxmlformats.org/officeDocument/2006/relationships/hyperlink" Target="Voltas_Financial_Model.xlsx" TargetMode="External"/><Relationship Id="rId10" Type="http://schemas.openxmlformats.org/officeDocument/2006/relationships/hyperlink" Target="Voltas_Financial_Model.xlsx" TargetMode="External"/><Relationship Id="rId11" Type="http://schemas.openxmlformats.org/officeDocument/2006/relationships/hyperlink" Target="Voltas_Financial_Model.xlsx" TargetMode="External"/><Relationship Id="rId12" Type="http://schemas.openxmlformats.org/officeDocument/2006/relationships/hyperlink" Target="Voltas_Financial_Model.xlsx" TargetMode="External"/><Relationship Id="rId13" Type="http://schemas.openxmlformats.org/officeDocument/2006/relationships/hyperlink" Target="Voltas_Financial_Model.xlsx" TargetMode="External"/><Relationship Id="rId14" Type="http://schemas.openxmlformats.org/officeDocument/2006/relationships/hyperlink" Target="Voltas_Financial_Model.xlsx" TargetMode="External"/><Relationship Id="rId15" Type="http://schemas.openxmlformats.org/officeDocument/2006/relationships/hyperlink" Target="Voltas_Financial_Model.xlsx" TargetMode="External"/><Relationship Id="rId16" Type="http://schemas.openxmlformats.org/officeDocument/2006/relationships/hyperlink" Target="Voltas_Financial_Model.xlsx" TargetMode="External"/><Relationship Id="rId17" Type="http://schemas.openxmlformats.org/officeDocument/2006/relationships/hyperlink" Target="Voltas_Financial_Model.xlsx" TargetMode="External"/><Relationship Id="rId18" Type="http://schemas.openxmlformats.org/officeDocument/2006/relationships/hyperlink" Target="Voltas_Financial_Model.xlsx" TargetMode="External"/><Relationship Id="rId19" Type="http://schemas.openxmlformats.org/officeDocument/2006/relationships/hyperlink" Target="Voltas_Financial_Model.xlsx" TargetMode="External"/><Relationship Id="rId20" Type="http://schemas.openxmlformats.org/officeDocument/2006/relationships/hyperlink" Target="Voltas_Financial_Model.xlsx" TargetMode="External"/><Relationship Id="rId21" Type="http://schemas.openxmlformats.org/officeDocument/2006/relationships/hyperlink" Target="Voltas_Financial_Model.xlsx" TargetMode="External"/><Relationship Id="rId22" Type="http://schemas.openxmlformats.org/officeDocument/2006/relationships/hyperlink" Target="Voltas_Financial_Model.xlsx" TargetMode="External"/><Relationship Id="rId23" Type="http://schemas.openxmlformats.org/officeDocument/2006/relationships/hyperlink" Target="Voltas_Financial_Model.xlsx" TargetMode="External"/><Relationship Id="rId24" Type="http://schemas.openxmlformats.org/officeDocument/2006/relationships/hyperlink" Target="Voltas_Financial_Model.xlsx" TargetMode="External"/><Relationship Id="rId25" Type="http://schemas.openxmlformats.org/officeDocument/2006/relationships/hyperlink" Target="Voltas_Financial_Model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  <col collapsed="false" customWidth="true" hidden="false" outlineLevel="0" max="3" min="3" style="0" width="30"/>
  </cols>
  <sheetData>
    <row r="1" customFormat="false" ht="24.4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2"/>
      <c r="C4" s="2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5" t="s">
        <v>15</v>
      </c>
      <c r="B11" s="6" t="s">
        <v>16</v>
      </c>
    </row>
    <row r="12" customFormat="false" ht="15" hidden="false" customHeight="false" outlineLevel="0" collapsed="false">
      <c r="A12" s="5" t="s">
        <v>17</v>
      </c>
      <c r="B12" s="6" t="s">
        <v>18</v>
      </c>
    </row>
    <row r="13" customFormat="false" ht="15" hidden="false" customHeight="false" outlineLevel="0" collapsed="false">
      <c r="A13" s="5" t="s">
        <v>19</v>
      </c>
      <c r="B13" s="6" t="s">
        <v>20</v>
      </c>
    </row>
    <row r="14" customFormat="false" ht="15" hidden="false" customHeight="false" outlineLevel="0" collapsed="false">
      <c r="A14" s="5" t="s">
        <v>21</v>
      </c>
      <c r="B14" s="6" t="s">
        <v>22</v>
      </c>
    </row>
    <row r="16" customFormat="false" ht="15" hidden="false" customHeight="false" outlineLevel="0" collapsed="false">
      <c r="A16" s="4" t="s">
        <v>23</v>
      </c>
      <c r="B16" s="2"/>
      <c r="C16" s="2"/>
    </row>
    <row r="17" customFormat="false" ht="15" hidden="false" customHeight="false" outlineLevel="0" collapsed="false">
      <c r="A17" s="7" t="s">
        <v>24</v>
      </c>
    </row>
    <row r="18" customFormat="false" ht="15" hidden="false" customHeight="false" outlineLevel="0" collapsed="false">
      <c r="A18" s="7" t="s">
        <v>25</v>
      </c>
    </row>
    <row r="19" customFormat="false" ht="15" hidden="false" customHeight="false" outlineLevel="0" collapsed="false">
      <c r="A19" s="7" t="s">
        <v>26</v>
      </c>
    </row>
    <row r="20" customFormat="false" ht="15" hidden="false" customHeight="false" outlineLevel="0" collapsed="false">
      <c r="A20" s="7" t="s">
        <v>27</v>
      </c>
    </row>
    <row r="22" customFormat="false" ht="15" hidden="false" customHeight="false" outlineLevel="0" collapsed="false">
      <c r="A22" s="4" t="s">
        <v>28</v>
      </c>
      <c r="B22" s="2"/>
      <c r="C22" s="2"/>
    </row>
    <row r="23" customFormat="false" ht="30" hidden="false" customHeight="true" outlineLevel="0" collapsed="false">
      <c r="A23" s="8" t="s">
        <v>29</v>
      </c>
      <c r="B23" s="8"/>
      <c r="C23" s="8"/>
    </row>
    <row r="24" customFormat="false" ht="30" hidden="false" customHeight="true" outlineLevel="0" collapsed="false">
      <c r="A24" s="8" t="s">
        <v>30</v>
      </c>
      <c r="B24" s="8"/>
      <c r="C24" s="8"/>
    </row>
    <row r="25" customFormat="false" ht="30" hidden="false" customHeight="true" outlineLevel="0" collapsed="false">
      <c r="A25" s="8" t="s">
        <v>31</v>
      </c>
      <c r="B25" s="8"/>
      <c r="C25" s="8"/>
    </row>
    <row r="26" customFormat="false" ht="30" hidden="false" customHeight="true" outlineLevel="0" collapsed="false">
      <c r="A26" s="8" t="s">
        <v>32</v>
      </c>
      <c r="B26" s="8"/>
      <c r="C26" s="8"/>
    </row>
  </sheetData>
  <mergeCells count="4">
    <mergeCell ref="A23:C23"/>
    <mergeCell ref="A24:C24"/>
    <mergeCell ref="A25:C25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80"/>
  </cols>
  <sheetData>
    <row r="1" customFormat="false" ht="19.7" hidden="false" customHeight="false" outlineLevel="0" collapsed="false">
      <c r="A1" s="9" t="s">
        <v>33</v>
      </c>
      <c r="B1" s="2"/>
      <c r="C1" s="2"/>
    </row>
    <row r="3" customFormat="false" ht="15" hidden="false" customHeight="false" outlineLevel="0" collapsed="false">
      <c r="A3" s="10" t="s">
        <v>34</v>
      </c>
      <c r="B3" s="10" t="s">
        <v>35</v>
      </c>
      <c r="C3" s="10" t="s">
        <v>36</v>
      </c>
    </row>
    <row r="4" customFormat="false" ht="15" hidden="false" customHeight="false" outlineLevel="0" collapsed="false">
      <c r="A4" s="7" t="n">
        <v>1</v>
      </c>
      <c r="B4" s="11" t="s">
        <v>37</v>
      </c>
      <c r="C4" s="7" t="s">
        <v>38</v>
      </c>
    </row>
    <row r="5" customFormat="false" ht="15" hidden="false" customHeight="false" outlineLevel="0" collapsed="false">
      <c r="A5" s="7" t="n">
        <v>2</v>
      </c>
      <c r="B5" s="11" t="s">
        <v>39</v>
      </c>
      <c r="C5" s="7" t="s">
        <v>40</v>
      </c>
    </row>
    <row r="6" customFormat="false" ht="15" hidden="false" customHeight="false" outlineLevel="0" collapsed="false">
      <c r="A6" s="7" t="n">
        <v>3</v>
      </c>
      <c r="B6" s="11" t="s">
        <v>41</v>
      </c>
      <c r="C6" s="7" t="s">
        <v>42</v>
      </c>
    </row>
    <row r="7" customFormat="false" ht="15" hidden="false" customHeight="false" outlineLevel="0" collapsed="false">
      <c r="A7" s="7" t="n">
        <v>4</v>
      </c>
      <c r="B7" s="11" t="s">
        <v>43</v>
      </c>
      <c r="C7" s="7" t="s">
        <v>44</v>
      </c>
    </row>
    <row r="8" customFormat="false" ht="15" hidden="false" customHeight="false" outlineLevel="0" collapsed="false">
      <c r="A8" s="7" t="n">
        <v>5</v>
      </c>
      <c r="B8" s="11" t="s">
        <v>45</v>
      </c>
      <c r="C8" s="7" t="s">
        <v>46</v>
      </c>
    </row>
    <row r="9" customFormat="false" ht="15" hidden="false" customHeight="false" outlineLevel="0" collapsed="false">
      <c r="A9" s="7" t="n">
        <v>6</v>
      </c>
      <c r="B9" s="11" t="s">
        <v>47</v>
      </c>
      <c r="C9" s="7" t="s">
        <v>48</v>
      </c>
    </row>
    <row r="10" customFormat="false" ht="15" hidden="false" customHeight="false" outlineLevel="0" collapsed="false">
      <c r="A10" s="7" t="n">
        <v>7</v>
      </c>
      <c r="B10" s="11" t="s">
        <v>49</v>
      </c>
      <c r="C10" s="7" t="s">
        <v>50</v>
      </c>
    </row>
    <row r="11" customFormat="false" ht="15" hidden="false" customHeight="false" outlineLevel="0" collapsed="false">
      <c r="A11" s="7" t="n">
        <v>8</v>
      </c>
      <c r="B11" s="11" t="s">
        <v>51</v>
      </c>
      <c r="C11" s="7" t="s">
        <v>52</v>
      </c>
    </row>
    <row r="12" customFormat="false" ht="15" hidden="false" customHeight="false" outlineLevel="0" collapsed="false">
      <c r="A12" s="7" t="n">
        <v>9</v>
      </c>
      <c r="B12" s="11" t="s">
        <v>53</v>
      </c>
      <c r="C12" s="7" t="s">
        <v>54</v>
      </c>
    </row>
    <row r="13" customFormat="false" ht="15" hidden="false" customHeight="false" outlineLevel="0" collapsed="false">
      <c r="A13" s="7" t="n">
        <v>10</v>
      </c>
      <c r="B13" s="11" t="s">
        <v>55</v>
      </c>
      <c r="C13" s="7" t="s">
        <v>56</v>
      </c>
    </row>
    <row r="14" customFormat="false" ht="15" hidden="false" customHeight="false" outlineLevel="0" collapsed="false">
      <c r="A14" s="7" t="n">
        <v>11</v>
      </c>
      <c r="B14" s="11" t="s">
        <v>57</v>
      </c>
      <c r="C14" s="7" t="s">
        <v>58</v>
      </c>
    </row>
    <row r="15" customFormat="false" ht="15" hidden="false" customHeight="false" outlineLevel="0" collapsed="false">
      <c r="A15" s="7" t="n">
        <v>12</v>
      </c>
      <c r="B15" s="11" t="s">
        <v>59</v>
      </c>
      <c r="C15" s="7" t="s">
        <v>60</v>
      </c>
    </row>
    <row r="16" customFormat="false" ht="15" hidden="false" customHeight="false" outlineLevel="0" collapsed="false">
      <c r="A16" s="7" t="n">
        <v>13</v>
      </c>
      <c r="B16" s="11" t="s">
        <v>61</v>
      </c>
      <c r="C16" s="7" t="s">
        <v>62</v>
      </c>
    </row>
    <row r="17" customFormat="false" ht="15" hidden="false" customHeight="false" outlineLevel="0" collapsed="false">
      <c r="A17" s="7" t="n">
        <v>14</v>
      </c>
      <c r="B17" s="11" t="s">
        <v>63</v>
      </c>
      <c r="C17" s="7" t="s">
        <v>64</v>
      </c>
    </row>
    <row r="18" customFormat="false" ht="15" hidden="false" customHeight="false" outlineLevel="0" collapsed="false">
      <c r="A18" s="7" t="n">
        <v>15</v>
      </c>
      <c r="B18" s="11" t="s">
        <v>65</v>
      </c>
      <c r="C18" s="7" t="s">
        <v>66</v>
      </c>
    </row>
    <row r="19" customFormat="false" ht="15" hidden="false" customHeight="false" outlineLevel="0" collapsed="false">
      <c r="A19" s="7" t="n">
        <v>16</v>
      </c>
      <c r="B19" s="11" t="s">
        <v>67</v>
      </c>
      <c r="C19" s="7" t="s">
        <v>68</v>
      </c>
    </row>
    <row r="20" customFormat="false" ht="15" hidden="false" customHeight="false" outlineLevel="0" collapsed="false">
      <c r="A20" s="7" t="n">
        <v>17</v>
      </c>
      <c r="B20" s="11" t="s">
        <v>69</v>
      </c>
      <c r="C20" s="7" t="s">
        <v>70</v>
      </c>
    </row>
    <row r="21" customFormat="false" ht="15" hidden="false" customHeight="false" outlineLevel="0" collapsed="false">
      <c r="A21" s="7" t="n">
        <v>18</v>
      </c>
      <c r="B21" s="11" t="s">
        <v>71</v>
      </c>
      <c r="C21" s="7" t="s">
        <v>72</v>
      </c>
    </row>
    <row r="22" customFormat="false" ht="15" hidden="false" customHeight="false" outlineLevel="0" collapsed="false">
      <c r="A22" s="7" t="n">
        <v>19</v>
      </c>
      <c r="B22" s="11" t="s">
        <v>73</v>
      </c>
      <c r="C22" s="7" t="s">
        <v>74</v>
      </c>
    </row>
    <row r="23" customFormat="false" ht="15" hidden="false" customHeight="false" outlineLevel="0" collapsed="false">
      <c r="A23" s="7" t="n">
        <v>20</v>
      </c>
      <c r="B23" s="11" t="s">
        <v>75</v>
      </c>
      <c r="C23" s="7" t="s">
        <v>76</v>
      </c>
    </row>
    <row r="24" customFormat="false" ht="15" hidden="false" customHeight="false" outlineLevel="0" collapsed="false">
      <c r="A24" s="7" t="n">
        <v>21</v>
      </c>
      <c r="B24" s="11" t="s">
        <v>77</v>
      </c>
      <c r="C24" s="7" t="s">
        <v>78</v>
      </c>
    </row>
    <row r="25" customFormat="false" ht="15" hidden="false" customHeight="false" outlineLevel="0" collapsed="false">
      <c r="A25" s="7" t="n">
        <v>22</v>
      </c>
      <c r="B25" s="11" t="s">
        <v>79</v>
      </c>
      <c r="C25" s="7" t="s">
        <v>80</v>
      </c>
    </row>
    <row r="26" customFormat="false" ht="15" hidden="false" customHeight="false" outlineLevel="0" collapsed="false">
      <c r="A26" s="7" t="n">
        <v>23</v>
      </c>
      <c r="B26" s="11" t="s">
        <v>81</v>
      </c>
      <c r="C26" s="7" t="s">
        <v>82</v>
      </c>
    </row>
    <row r="27" customFormat="false" ht="15" hidden="false" customHeight="false" outlineLevel="0" collapsed="false">
      <c r="A27" s="7" t="n">
        <v>24</v>
      </c>
      <c r="B27" s="11" t="s">
        <v>83</v>
      </c>
      <c r="C27" s="7" t="s">
        <v>84</v>
      </c>
    </row>
    <row r="28" customFormat="false" ht="15" hidden="false" customHeight="false" outlineLevel="0" collapsed="false">
      <c r="A28" s="7" t="n">
        <v>25</v>
      </c>
      <c r="B28" s="11" t="s">
        <v>85</v>
      </c>
      <c r="C28" s="7" t="s">
        <v>86</v>
      </c>
    </row>
  </sheetData>
  <hyperlinks>
    <hyperlink ref="B4" r:id="rId1" location="'Cover'!A1" display="Cover"/>
    <hyperlink ref="B5" r:id="rId2" location="'TOC'!A1" display="TOC"/>
    <hyperlink ref="B6" r:id="rId3" location="'Instructions'!A1" display="Instructions"/>
    <hyperlink ref="B7" r:id="rId4" location="'Checks'!A1" display="Checks"/>
    <hyperlink ref="B8" r:id="rId5" location="'Error_Log'!A1" display="Error_Log"/>
    <hyperlink ref="B9" r:id="rId6" location="'Hist_IS'!A1" display="Hist_IS"/>
    <hyperlink ref="B10" r:id="rId7" location="'Hist_BS'!A1" display="Hist_BS"/>
    <hyperlink ref="B11" r:id="rId8" location="'Hist_CF'!A1" display="Hist_CF"/>
    <hyperlink ref="B12" r:id="rId9" location="'Assumptions'!A1" display="Assumptions"/>
    <hyperlink ref="B13" r:id="rId10" location="'Revenue_Build'!A1" display="Revenue_Build"/>
    <hyperlink ref="B14" r:id="rId11" location="'Cost_Schedule'!A1" display="Cost_Schedule"/>
    <hyperlink ref="B15" r:id="rId12" location="'WC_Schedule'!A1" display="WC_Schedule"/>
    <hyperlink ref="B16" r:id="rId13" location="'Capex_Dep'!A1" display="Capex_Dep"/>
    <hyperlink ref="B17" r:id="rId14" location="'Debt_Schedule'!A1" display="Debt_Schedule"/>
    <hyperlink ref="B18" r:id="rId15" location="'Equity_Schedule'!A1" display="Equity_Schedule"/>
    <hyperlink ref="B19" r:id="rId16" location="'Income_Statement'!A1" display="Income_Statement"/>
    <hyperlink ref="B20" r:id="rId17" location="'Balance_Sheet'!A1" display="Balance_Sheet"/>
    <hyperlink ref="B21" r:id="rId18" location="'Cash_Flow'!A1" display="Cash_Flow"/>
    <hyperlink ref="B22" r:id="rId19" location="'Ratios'!A1" display="Ratios"/>
    <hyperlink ref="B23" r:id="rId20" location="'Market_Data'!A1" display="Market_Data"/>
    <hyperlink ref="B24" r:id="rId21" location="'WACC'!A1" display="WACC"/>
    <hyperlink ref="B25" r:id="rId22" location="'DCF'!A1" display="DCF"/>
    <hyperlink ref="B26" r:id="rId23" location="'Relative_Valuation'!A1" display="Relative_Valuation"/>
    <hyperlink ref="B27" r:id="rId24" location="'Peer_Multiples'!A1" display="Peer_Multiples"/>
    <hyperlink ref="B28" r:id="rId25" location="'SoTP'!A1" display="SoT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2" t="s">
        <v>87</v>
      </c>
      <c r="B1" s="2"/>
      <c r="C1" s="2"/>
    </row>
    <row r="3" customFormat="false" ht="15" hidden="false" customHeight="false" outlineLevel="0" collapsed="false">
      <c r="A3" s="10" t="s">
        <v>88</v>
      </c>
      <c r="B3" s="10" t="s">
        <v>36</v>
      </c>
    </row>
    <row r="4" customFormat="false" ht="30" hidden="false" customHeight="true" outlineLevel="0" collapsed="false">
      <c r="A4" s="13" t="s">
        <v>89</v>
      </c>
      <c r="B4" s="14" t="s">
        <v>90</v>
      </c>
    </row>
    <row r="5" customFormat="false" ht="30" hidden="false" customHeight="true" outlineLevel="0" collapsed="false">
      <c r="A5" s="15" t="s">
        <v>91</v>
      </c>
      <c r="B5" s="14" t="s">
        <v>92</v>
      </c>
    </row>
    <row r="6" customFormat="false" ht="30" hidden="false" customHeight="true" outlineLevel="0" collapsed="false">
      <c r="A6" s="5" t="s">
        <v>93</v>
      </c>
      <c r="B6" s="14" t="s">
        <v>94</v>
      </c>
    </row>
    <row r="7" customFormat="false" ht="30" hidden="false" customHeight="true" outlineLevel="0" collapsed="false">
      <c r="A7" s="5" t="s">
        <v>95</v>
      </c>
      <c r="B7" s="14" t="s">
        <v>96</v>
      </c>
    </row>
    <row r="8" customFormat="false" ht="30" hidden="false" customHeight="true" outlineLevel="0" collapsed="false">
      <c r="A8" s="16" t="s">
        <v>97</v>
      </c>
      <c r="B8" s="14" t="s">
        <v>98</v>
      </c>
    </row>
    <row r="9" customFormat="false" ht="30" hidden="false" customHeight="true" outlineLevel="0" collapsed="false">
      <c r="A9" s="5" t="s">
        <v>99</v>
      </c>
      <c r="B9" s="14" t="s">
        <v>100</v>
      </c>
    </row>
    <row r="10" customFormat="false" ht="30" hidden="false" customHeight="true" outlineLevel="0" collapsed="false">
      <c r="A10" s="5" t="s">
        <v>101</v>
      </c>
      <c r="B10" s="14" t="s">
        <v>102</v>
      </c>
    </row>
    <row r="11" customFormat="false" ht="30" hidden="false" customHeight="true" outlineLevel="0" collapsed="false">
      <c r="A11" s="5" t="s">
        <v>103</v>
      </c>
      <c r="B11" s="14" t="s">
        <v>104</v>
      </c>
    </row>
    <row r="12" customFormat="false" ht="30" hidden="false" customHeight="true" outlineLevel="0" collapsed="false">
      <c r="A12" s="5" t="s">
        <v>105</v>
      </c>
      <c r="B12" s="14" t="s">
        <v>106</v>
      </c>
    </row>
    <row r="13" customFormat="false" ht="30" hidden="false" customHeight="true" outlineLevel="0" collapsed="false">
      <c r="A13" s="5" t="s">
        <v>43</v>
      </c>
      <c r="B13" s="14" t="s">
        <v>107</v>
      </c>
    </row>
    <row r="14" customFormat="false" ht="30" hidden="false" customHeight="true" outlineLevel="0" collapsed="false">
      <c r="A14" s="5" t="s">
        <v>108</v>
      </c>
      <c r="B14" s="14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2"/>
    <col collapsed="false" customWidth="true" hidden="false" outlineLevel="0" max="6" min="3" style="0" width="15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7" t="s">
        <v>110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18" t="s">
        <v>111</v>
      </c>
    </row>
    <row r="4" customFormat="false" ht="15" hidden="false" customHeight="false" outlineLevel="0" collapsed="false">
      <c r="A4" s="4" t="s">
        <v>112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19" t="s">
        <v>34</v>
      </c>
      <c r="B5" s="19" t="s">
        <v>113</v>
      </c>
      <c r="C5" s="19" t="s">
        <v>114</v>
      </c>
      <c r="D5" s="19" t="s">
        <v>115</v>
      </c>
      <c r="E5" s="19" t="s">
        <v>116</v>
      </c>
      <c r="F5" s="19" t="s">
        <v>117</v>
      </c>
      <c r="G5" s="19" t="s">
        <v>118</v>
      </c>
    </row>
    <row r="6" customFormat="false" ht="27.75" hidden="false" customHeight="true" outlineLevel="0" collapsed="false">
      <c r="A6" s="7" t="n">
        <v>1</v>
      </c>
      <c r="B6" s="14" t="s">
        <v>119</v>
      </c>
      <c r="C6" s="20" t="n">
        <f aca="false">SUMPRODUCT(ABS(Revenue_Build!C24:F24-Hist_IS!C12:F12))</f>
        <v>0</v>
      </c>
      <c r="D6" s="21" t="n">
        <v>0.01</v>
      </c>
      <c r="E6" s="5" t="str">
        <f aca="false">IF(ABS(C6)&lt;=D6,"OK","REVIEW")</f>
        <v>OK</v>
      </c>
      <c r="F6" s="7"/>
      <c r="G6" s="7" t="s">
        <v>120</v>
      </c>
    </row>
    <row r="7" customFormat="false" ht="27.75" hidden="false" customHeight="true" outlineLevel="0" collapsed="false">
      <c r="A7" s="7" t="n">
        <v>2</v>
      </c>
      <c r="B7" s="14" t="s">
        <v>121</v>
      </c>
      <c r="C7" s="20" t="n">
        <f aca="false">SUMPRODUCT(ABS(Hist_BS!C44:F44))</f>
        <v>1</v>
      </c>
      <c r="D7" s="21" t="n">
        <v>4</v>
      </c>
      <c r="E7" s="5" t="str">
        <f aca="false">IF(ABS(C7)&lt;=D7,"OK","REVIEW")</f>
        <v>OK</v>
      </c>
      <c r="F7" s="7" t="s">
        <v>122</v>
      </c>
      <c r="G7" s="7" t="s">
        <v>123</v>
      </c>
    </row>
    <row r="8" customFormat="false" ht="27.75" hidden="false" customHeight="true" outlineLevel="0" collapsed="false">
      <c r="A8" s="7" t="n">
        <v>3</v>
      </c>
      <c r="B8" s="14" t="s">
        <v>124</v>
      </c>
      <c r="C8" s="20" t="n">
        <f aca="false">SUMPRODUCT(ABS(Balance_Sheet!G43:K43))</f>
        <v>0</v>
      </c>
      <c r="D8" s="21" t="n">
        <v>0.5</v>
      </c>
      <c r="E8" s="5" t="str">
        <f aca="false">IF(ABS(C8)&lt;=D8,"OK","REVIEW")</f>
        <v>OK</v>
      </c>
      <c r="F8" s="7"/>
      <c r="G8" s="7" t="s">
        <v>125</v>
      </c>
    </row>
    <row r="9" customFormat="false" ht="27.75" hidden="false" customHeight="true" outlineLevel="0" collapsed="false">
      <c r="A9" s="7" t="n">
        <v>4</v>
      </c>
      <c r="B9" s="14" t="s">
        <v>126</v>
      </c>
      <c r="C9" s="20" t="n">
        <f aca="false">SUMPRODUCT(ABS(Cash_Flow!G53:K53))</f>
        <v>0</v>
      </c>
      <c r="D9" s="21" t="n">
        <v>0.5</v>
      </c>
      <c r="E9" s="5" t="str">
        <f aca="false">IF(ABS(C9)&lt;=D9,"OK","REVIEW")</f>
        <v>OK</v>
      </c>
      <c r="F9" s="7"/>
      <c r="G9" s="7"/>
    </row>
    <row r="10" customFormat="false" ht="27.75" hidden="false" customHeight="true" outlineLevel="0" collapsed="false">
      <c r="A10" s="7" t="n">
        <v>5</v>
      </c>
      <c r="B10" s="14" t="s">
        <v>127</v>
      </c>
      <c r="C10" s="20" t="n">
        <f aca="false">SUMPRODUCT(ABS(Hist_CF!C38:F38))</f>
        <v>121</v>
      </c>
      <c r="D10" s="21" t="n">
        <v>5</v>
      </c>
      <c r="E10" s="5" t="str">
        <f aca="false">IF(ABS(C10)&lt;=D10,"OK","REVIEW")</f>
        <v>REVIEW</v>
      </c>
      <c r="F10" s="7" t="s">
        <v>128</v>
      </c>
      <c r="G10" s="7" t="s">
        <v>129</v>
      </c>
    </row>
    <row r="11" customFormat="false" ht="27.75" hidden="false" customHeight="true" outlineLevel="0" collapsed="false">
      <c r="A11" s="7" t="n">
        <v>6</v>
      </c>
      <c r="B11" s="14" t="s">
        <v>130</v>
      </c>
      <c r="C11" s="20" t="n">
        <f aca="false">SUMPRODUCT(ABS(Hist_CF!D39:F39))</f>
        <v>2</v>
      </c>
      <c r="D11" s="21" t="n">
        <v>2</v>
      </c>
      <c r="E11" s="5" t="str">
        <f aca="false">IF(ABS(C11)&lt;=D11,"OK","REVIEW")</f>
        <v>OK</v>
      </c>
      <c r="F11" s="7" t="s">
        <v>128</v>
      </c>
      <c r="G11" s="7" t="s">
        <v>131</v>
      </c>
    </row>
    <row r="12" customFormat="false" ht="27.75" hidden="false" customHeight="true" outlineLevel="0" collapsed="false">
      <c r="A12" s="7" t="n">
        <v>7</v>
      </c>
      <c r="B12" s="14" t="s">
        <v>132</v>
      </c>
      <c r="C12" s="20" t="n">
        <f aca="false">SUMPRODUCT(ABS(Cost_Schedule!G18:K18-Income_Statement!G14:K14))</f>
        <v>0</v>
      </c>
      <c r="D12" s="21" t="n">
        <v>0.01</v>
      </c>
      <c r="E12" s="5" t="str">
        <f aca="false">IF(ABS(C12)&lt;=D12,"OK","REVIEW")</f>
        <v>OK</v>
      </c>
      <c r="F12" s="7"/>
      <c r="G12" s="7"/>
    </row>
    <row r="13" customFormat="false" ht="27.75" hidden="false" customHeight="true" outlineLevel="0" collapsed="false">
      <c r="A13" s="7" t="n">
        <v>8</v>
      </c>
      <c r="B13" s="14" t="s">
        <v>133</v>
      </c>
      <c r="C13" s="20" t="n">
        <f aca="false">SUMPRODUCT(ABS(Capex_Dep!C13:F13))</f>
        <v>2</v>
      </c>
      <c r="D13" s="21" t="n">
        <v>3</v>
      </c>
      <c r="E13" s="5" t="str">
        <f aca="false">IF(ABS(C13)&lt;=D13,"OK","REVIEW")</f>
        <v>OK</v>
      </c>
      <c r="F13" s="7" t="s">
        <v>134</v>
      </c>
      <c r="G13" s="7" t="s">
        <v>135</v>
      </c>
    </row>
    <row r="14" customFormat="false" ht="27.75" hidden="false" customHeight="true" outlineLevel="0" collapsed="false">
      <c r="A14" s="7" t="n">
        <v>9</v>
      </c>
      <c r="B14" s="14" t="s">
        <v>136</v>
      </c>
      <c r="C14" s="20" t="n">
        <f aca="false">Revenue_Build!F17</f>
        <v>447</v>
      </c>
      <c r="D14" s="21" t="n">
        <v>1</v>
      </c>
      <c r="E14" s="5" t="str">
        <f aca="false">IF(ABS(C14)&lt;=D14,"OK","REVIEW")</f>
        <v>REVIEW</v>
      </c>
      <c r="F14" s="7" t="s">
        <v>137</v>
      </c>
      <c r="G14" s="7" t="s">
        <v>138</v>
      </c>
    </row>
    <row r="15" customFormat="false" ht="27.75" hidden="false" customHeight="true" outlineLevel="0" collapsed="false">
      <c r="A15" s="7" t="n">
        <v>10</v>
      </c>
      <c r="B15" s="14" t="s">
        <v>139</v>
      </c>
      <c r="C15" s="20" t="n">
        <f aca="false">Revenue_Build!F16-Revenue_Build!F13</f>
        <v>-0.0162149532710281</v>
      </c>
      <c r="D15" s="21" t="n">
        <v>0.001</v>
      </c>
      <c r="E15" s="5" t="str">
        <f aca="false">IF(ABS(C15)&lt;=D15,"OK","REVIEW")</f>
        <v>REVIEW</v>
      </c>
      <c r="F15" s="7" t="s">
        <v>137</v>
      </c>
      <c r="G15" s="7" t="s">
        <v>140</v>
      </c>
    </row>
    <row r="16" customFormat="false" ht="27.75" hidden="false" customHeight="true" outlineLevel="0" collapsed="false">
      <c r="A16" s="7" t="n">
        <v>11</v>
      </c>
      <c r="B16" s="14" t="s">
        <v>141</v>
      </c>
      <c r="C16" s="20" t="n">
        <f aca="false">SUMPRODUCT(ABS(Assumptions!G30:K30-Assumptions!G31:K31))</f>
        <v>187</v>
      </c>
      <c r="D16" s="21" t="n">
        <v>0.01</v>
      </c>
      <c r="E16" s="5" t="str">
        <f aca="false">IF(ABS(C16)&lt;=D16,"OK","REVIEW")</f>
        <v>REVIEW</v>
      </c>
      <c r="F16" s="7" t="s">
        <v>142</v>
      </c>
      <c r="G16" s="7" t="s">
        <v>143</v>
      </c>
    </row>
    <row r="17" customFormat="false" ht="27.75" hidden="false" customHeight="true" outlineLevel="0" collapsed="false">
      <c r="A17" s="7" t="n">
        <v>12</v>
      </c>
      <c r="B17" s="14" t="s">
        <v>144</v>
      </c>
      <c r="C17" s="20" t="n">
        <f aca="false">SUMPRODUCT(ABS(Market_Data!O4:O8)/Market_Data!F4:F8)</f>
        <v>4.96348273770794E-005</v>
      </c>
      <c r="D17" s="21" t="n">
        <v>0.001</v>
      </c>
      <c r="E17" s="5" t="str">
        <f aca="false">IF(ABS(C17)&lt;=D17,"OK","REVIEW")</f>
        <v>OK</v>
      </c>
      <c r="F17" s="7"/>
      <c r="G17" s="7" t="s">
        <v>145</v>
      </c>
    </row>
    <row r="18" customFormat="false" ht="27.75" hidden="false" customHeight="true" outlineLevel="0" collapsed="false">
      <c r="A18" s="7" t="n">
        <v>13</v>
      </c>
      <c r="B18" s="14" t="s">
        <v>146</v>
      </c>
      <c r="C18" s="20" t="n">
        <f aca="false">WACC!B44-WACC!B54</f>
        <v>0.00782868786164268</v>
      </c>
      <c r="D18" s="21" t="n">
        <v>0.0005</v>
      </c>
      <c r="E18" s="5" t="str">
        <f aca="false">IF(ABS(C18)&lt;=D18,"OK","REVIEW")</f>
        <v>REVIEW</v>
      </c>
      <c r="F18" s="7" t="s">
        <v>147</v>
      </c>
      <c r="G18" s="7" t="s">
        <v>148</v>
      </c>
    </row>
    <row r="19" customFormat="false" ht="27.75" hidden="false" customHeight="true" outlineLevel="0" collapsed="false">
      <c r="A19" s="7" t="n">
        <v>14</v>
      </c>
      <c r="B19" s="14" t="s">
        <v>149</v>
      </c>
      <c r="C19" s="20" t="n">
        <f aca="false">SUM(Cash_Flow!G50:K50)</f>
        <v>128.744208920559</v>
      </c>
      <c r="D19" s="21" t="n">
        <v>1</v>
      </c>
      <c r="E19" s="5" t="str">
        <f aca="false">IF(ABS(C19)&lt;=D19,"OK","REVIEW")</f>
        <v>REVIEW</v>
      </c>
      <c r="F19" s="7" t="s">
        <v>150</v>
      </c>
      <c r="G19" s="7" t="s">
        <v>151</v>
      </c>
    </row>
    <row r="20" customFormat="false" ht="27.75" hidden="false" customHeight="true" outlineLevel="0" collapsed="false">
      <c r="A20" s="7" t="n">
        <v>15</v>
      </c>
      <c r="B20" s="14" t="s">
        <v>152</v>
      </c>
      <c r="C20" s="20" t="n">
        <f aca="false">DCF!B46-DCF!B30</f>
        <v>0</v>
      </c>
      <c r="D20" s="21" t="n">
        <v>0.001</v>
      </c>
      <c r="E20" s="5" t="str">
        <f aca="false">IF(ABS(C20)&lt;=D20,"OK","REVIEW")</f>
        <v>OK</v>
      </c>
      <c r="F20" s="7"/>
      <c r="G20" s="7"/>
    </row>
    <row r="21" customFormat="false" ht="27.75" hidden="false" customHeight="true" outlineLevel="0" collapsed="false">
      <c r="A21" s="7" t="n">
        <v>16</v>
      </c>
      <c r="B21" s="14" t="s">
        <v>153</v>
      </c>
      <c r="C21" s="20" t="n">
        <f aca="false">DCF!B62</f>
        <v>0</v>
      </c>
      <c r="D21" s="21" t="n">
        <v>0.001</v>
      </c>
      <c r="E21" s="5" t="str">
        <f aca="false">IF(ABS(C21)&lt;=D21,"OK","REVIEW")</f>
        <v>OK</v>
      </c>
      <c r="F21" s="7"/>
      <c r="G21" s="7"/>
    </row>
    <row r="22" customFormat="false" ht="27.75" hidden="false" customHeight="true" outlineLevel="0" collapsed="false">
      <c r="A22" s="7" t="n">
        <v>17</v>
      </c>
      <c r="B22" s="14" t="s">
        <v>154</v>
      </c>
      <c r="C22" s="20" t="n">
        <f aca="false">Relative_Valuation!L27</f>
        <v>0</v>
      </c>
      <c r="D22" s="21" t="n">
        <v>0.0001</v>
      </c>
      <c r="E22" s="5" t="str">
        <f aca="false">IF(ABS(C22)&lt;=D22,"OK","REVIEW")</f>
        <v>OK</v>
      </c>
      <c r="F22" s="7"/>
      <c r="G22" s="7"/>
    </row>
    <row r="23" customFormat="false" ht="27.75" hidden="false" customHeight="true" outlineLevel="0" collapsed="false">
      <c r="A23" s="7" t="n">
        <v>18</v>
      </c>
      <c r="B23" s="14" t="s">
        <v>155</v>
      </c>
      <c r="C23" s="20" t="n">
        <f aca="false">Relative_Valuation!L26-Relative_Valuation!L41</f>
        <v>36.6956361356769</v>
      </c>
      <c r="D23" s="21" t="n">
        <v>0.5</v>
      </c>
      <c r="E23" s="5" t="str">
        <f aca="false">IF(ABS(C23)&lt;=D23,"OK","REVIEW")</f>
        <v>REVIEW</v>
      </c>
      <c r="F23" s="7" t="s">
        <v>156</v>
      </c>
      <c r="G23" s="7" t="s">
        <v>157</v>
      </c>
    </row>
    <row r="24" customFormat="false" ht="27.75" hidden="false" customHeight="true" outlineLevel="0" collapsed="false">
      <c r="A24" s="7" t="n">
        <v>19</v>
      </c>
      <c r="B24" s="14" t="s">
        <v>158</v>
      </c>
      <c r="C24" s="20" t="n">
        <f aca="false">SoTP!C49</f>
        <v>0</v>
      </c>
      <c r="D24" s="21" t="n">
        <v>0.001</v>
      </c>
      <c r="E24" s="5" t="str">
        <f aca="false">IF(ABS(C24)&lt;=D24,"OK","REVIEW")</f>
        <v>OK</v>
      </c>
      <c r="F24" s="7"/>
      <c r="G24" s="7"/>
    </row>
    <row r="25" customFormat="false" ht="27.75" hidden="false" customHeight="true" outlineLevel="0" collapsed="false">
      <c r="A25" s="7" t="n">
        <v>20</v>
      </c>
      <c r="B25" s="14" t="s">
        <v>159</v>
      </c>
      <c r="C25" s="20" t="n">
        <f aca="false">SoTP!C58</f>
        <v>0</v>
      </c>
      <c r="D25" s="21" t="n">
        <v>0.001</v>
      </c>
      <c r="E25" s="5" t="str">
        <f aca="false">IF(ABS(C25)&lt;=D25,"OK","REVIEW")</f>
        <v>OK</v>
      </c>
      <c r="F25" s="7"/>
      <c r="G25" s="7"/>
    </row>
    <row r="26" customFormat="false" ht="27.75" hidden="false" customHeight="true" outlineLevel="0" collapsed="false">
      <c r="A26" s="7" t="n">
        <v>21</v>
      </c>
      <c r="B26" s="14" t="s">
        <v>160</v>
      </c>
      <c r="C26" s="20" t="n">
        <f aca="false">SoTP!F17</f>
        <v>0.123124819681679</v>
      </c>
      <c r="D26" s="21" t="n">
        <v>0.02</v>
      </c>
      <c r="E26" s="5" t="str">
        <f aca="false">IF(ABS(C26)&lt;=D26,"OK","REVIEW")</f>
        <v>REVIEW</v>
      </c>
      <c r="F26" s="7" t="s">
        <v>161</v>
      </c>
      <c r="G26" s="7" t="s">
        <v>162</v>
      </c>
    </row>
    <row r="27" customFormat="false" ht="27.75" hidden="false" customHeight="true" outlineLevel="0" collapsed="false">
      <c r="A27" s="7" t="n">
        <v>22</v>
      </c>
      <c r="B27" s="14" t="s">
        <v>163</v>
      </c>
      <c r="C27" s="20" t="n">
        <f aca="false">SoTP!B22-SoTP!C22</f>
        <v>0.217763508688198</v>
      </c>
      <c r="D27" s="21" t="n">
        <v>0.001</v>
      </c>
      <c r="E27" s="5" t="str">
        <f aca="false">IF(ABS(C27)&lt;=D27,"OK","REVIEW")</f>
        <v>REVIEW</v>
      </c>
      <c r="F27" s="7" t="s">
        <v>164</v>
      </c>
      <c r="G27" s="7" t="s">
        <v>165</v>
      </c>
    </row>
    <row r="28" customFormat="false" ht="27.75" hidden="false" customHeight="true" outlineLevel="0" collapsed="false">
      <c r="A28" s="7" t="n">
        <v>23</v>
      </c>
      <c r="B28" s="14" t="s">
        <v>166</v>
      </c>
      <c r="C28" s="20" t="n">
        <f aca="false">Debt_Schedule!F23-Debt_Schedule!F25</f>
        <v>-11</v>
      </c>
      <c r="D28" s="21" t="n">
        <v>0.5</v>
      </c>
      <c r="E28" s="5" t="str">
        <f aca="false">IF(ABS(C28)&lt;=D28,"OK","REVIEW")</f>
        <v>REVIEW</v>
      </c>
      <c r="F28" s="7" t="s">
        <v>167</v>
      </c>
      <c r="G28" s="7" t="s">
        <v>168</v>
      </c>
    </row>
    <row r="29" customFormat="false" ht="27.75" hidden="false" customHeight="true" outlineLevel="0" collapsed="false">
      <c r="A29" s="7" t="n">
        <v>24</v>
      </c>
      <c r="B29" s="14" t="s">
        <v>169</v>
      </c>
      <c r="C29" s="20" t="n">
        <f aca="false">MAX(DCF!B27,Relative_Valuation!E6,SoTP!B25-SoTP!B24,Debt_Schedule!F26-Balance_Sheet!F39)-MIN(DCF!B27,Relative_Valuation!E6,SoTP!B25-SoTP!B24,Debt_Schedule!F26-Balance_Sheet!F39)</f>
        <v>26</v>
      </c>
      <c r="D29" s="21" t="n">
        <v>2</v>
      </c>
      <c r="E29" s="5" t="str">
        <f aca="false">IF(ABS(C29)&lt;=D29,"OK","REVIEW")</f>
        <v>REVIEW</v>
      </c>
      <c r="F29" s="7" t="s">
        <v>170</v>
      </c>
      <c r="G29" s="7" t="s">
        <v>171</v>
      </c>
    </row>
    <row r="30" customFormat="false" ht="15" hidden="false" customHeight="false" outlineLevel="0" collapsed="false">
      <c r="B30" s="5" t="s">
        <v>172</v>
      </c>
      <c r="C30" s="22" t="n">
        <f aca="false">COUNTIF(E6:E29,"OK")</f>
        <v>13</v>
      </c>
      <c r="D30" s="22" t="n">
        <f aca="false">COUNTA(E6:E29)</f>
        <v>24</v>
      </c>
    </row>
    <row r="32" customFormat="false" ht="15" hidden="false" customHeight="false" outlineLevel="0" collapsed="false">
      <c r="A32" s="4" t="s">
        <v>173</v>
      </c>
      <c r="B32" s="2"/>
      <c r="C32" s="2"/>
      <c r="D32" s="2"/>
      <c r="E32" s="2"/>
      <c r="F32" s="2"/>
      <c r="G32" s="2"/>
    </row>
    <row r="33" customFormat="false" ht="15" hidden="false" customHeight="false" outlineLevel="0" collapsed="false">
      <c r="A33" s="19" t="s">
        <v>34</v>
      </c>
      <c r="B33" s="19" t="s">
        <v>88</v>
      </c>
      <c r="C33" s="19" t="s">
        <v>174</v>
      </c>
      <c r="D33" s="19" t="s">
        <v>175</v>
      </c>
      <c r="E33" s="19" t="s">
        <v>176</v>
      </c>
      <c r="F33" s="19" t="s">
        <v>115</v>
      </c>
      <c r="G33" s="19" t="s">
        <v>116</v>
      </c>
    </row>
    <row r="34" customFormat="false" ht="15" hidden="false" customHeight="false" outlineLevel="0" collapsed="false">
      <c r="A34" s="7" t="n">
        <v>1</v>
      </c>
      <c r="B34" s="7" t="s">
        <v>177</v>
      </c>
      <c r="C34" s="23" t="n">
        <v>16558</v>
      </c>
      <c r="D34" s="24" t="n">
        <f aca="false">Income_Statement!G6</f>
        <v>16557.0606</v>
      </c>
      <c r="E34" s="25" t="n">
        <f aca="false">D34-C34</f>
        <v>-0.939399999999296</v>
      </c>
      <c r="F34" s="26" t="n">
        <v>2</v>
      </c>
      <c r="G34" s="5" t="str">
        <f aca="false">IF(ABS(E34)&lt;=F34,"OK","REVIEW")</f>
        <v>OK</v>
      </c>
    </row>
    <row r="35" customFormat="false" ht="15" hidden="false" customHeight="false" outlineLevel="0" collapsed="false">
      <c r="A35" s="7" t="n">
        <v>2</v>
      </c>
      <c r="B35" s="7" t="s">
        <v>178</v>
      </c>
      <c r="C35" s="23" t="n">
        <v>19014</v>
      </c>
      <c r="D35" s="24" t="n">
        <f aca="false">Income_Statement!H6</f>
        <v>19013.7760213963</v>
      </c>
      <c r="E35" s="25" t="n">
        <f aca="false">D35-C35</f>
        <v>-0.22397860374258</v>
      </c>
      <c r="F35" s="26" t="n">
        <v>2</v>
      </c>
      <c r="G35" s="5" t="str">
        <f aca="false">IF(ABS(E35)&lt;=F35,"OK","REVIEW")</f>
        <v>OK</v>
      </c>
    </row>
    <row r="36" customFormat="false" ht="15" hidden="false" customHeight="false" outlineLevel="0" collapsed="false">
      <c r="A36" s="7" t="n">
        <v>3</v>
      </c>
      <c r="B36" s="7" t="s">
        <v>179</v>
      </c>
      <c r="C36" s="23" t="n">
        <v>21432</v>
      </c>
      <c r="D36" s="24" t="n">
        <f aca="false">Income_Statement!I6</f>
        <v>21431.9276557073</v>
      </c>
      <c r="E36" s="25" t="n">
        <f aca="false">D36-C36</f>
        <v>-0.0723442926828284</v>
      </c>
      <c r="F36" s="26" t="n">
        <v>2</v>
      </c>
      <c r="G36" s="5" t="str">
        <f aca="false">IF(ABS(E36)&lt;=F36,"OK","REVIEW")</f>
        <v>OK</v>
      </c>
    </row>
    <row r="37" customFormat="false" ht="15" hidden="false" customHeight="false" outlineLevel="0" collapsed="false">
      <c r="A37" s="7" t="n">
        <v>4</v>
      </c>
      <c r="B37" s="7" t="s">
        <v>180</v>
      </c>
      <c r="C37" s="23" t="n">
        <v>23800</v>
      </c>
      <c r="D37" s="24" t="n">
        <f aca="false">Income_Statement!J6</f>
        <v>23799.8983744703</v>
      </c>
      <c r="E37" s="25" t="n">
        <f aca="false">D37-C37</f>
        <v>-0.101625529718149</v>
      </c>
      <c r="F37" s="26" t="n">
        <v>2</v>
      </c>
      <c r="G37" s="5" t="str">
        <f aca="false">IF(ABS(E37)&lt;=F37,"OK","REVIEW")</f>
        <v>OK</v>
      </c>
    </row>
    <row r="38" customFormat="false" ht="15" hidden="false" customHeight="false" outlineLevel="0" collapsed="false">
      <c r="A38" s="7" t="n">
        <v>5</v>
      </c>
      <c r="B38" s="7" t="s">
        <v>181</v>
      </c>
      <c r="C38" s="23" t="n">
        <v>26484</v>
      </c>
      <c r="D38" s="24" t="n">
        <f aca="false">Income_Statement!K6</f>
        <v>26484.1781155588</v>
      </c>
      <c r="E38" s="25" t="n">
        <f aca="false">D38-C38</f>
        <v>0.178115558821446</v>
      </c>
      <c r="F38" s="26" t="n">
        <v>2</v>
      </c>
      <c r="G38" s="5" t="str">
        <f aca="false">IF(ABS(E38)&lt;=F38,"OK","REVIEW")</f>
        <v>OK</v>
      </c>
    </row>
    <row r="39" customFormat="false" ht="15" hidden="false" customHeight="false" outlineLevel="0" collapsed="false">
      <c r="A39" s="7" t="n">
        <v>6</v>
      </c>
      <c r="B39" s="7" t="s">
        <v>182</v>
      </c>
      <c r="C39" s="23" t="n">
        <v>1043</v>
      </c>
      <c r="D39" s="24" t="n">
        <f aca="false">Income_Statement!G14</f>
        <v>1043.0948178</v>
      </c>
      <c r="E39" s="25" t="n">
        <f aca="false">D39-C39</f>
        <v>0.0948177999998734</v>
      </c>
      <c r="F39" s="26" t="n">
        <v>2</v>
      </c>
      <c r="G39" s="5" t="str">
        <f aca="false">IF(ABS(E39)&lt;=F39,"OK","REVIEW")</f>
        <v>OK</v>
      </c>
    </row>
    <row r="40" customFormat="false" ht="15" hidden="false" customHeight="false" outlineLevel="0" collapsed="false">
      <c r="A40" s="7" t="n">
        <v>7</v>
      </c>
      <c r="B40" s="7" t="s">
        <v>183</v>
      </c>
      <c r="C40" s="23" t="n">
        <v>1312</v>
      </c>
      <c r="D40" s="24" t="n">
        <f aca="false">Income_Statement!H14</f>
        <v>1311.95054547634</v>
      </c>
      <c r="E40" s="25" t="n">
        <f aca="false">D40-C40</f>
        <v>-0.0494545236579143</v>
      </c>
      <c r="F40" s="26" t="n">
        <v>2</v>
      </c>
      <c r="G40" s="5" t="str">
        <f aca="false">IF(ABS(E40)&lt;=F40,"OK","REVIEW")</f>
        <v>OK</v>
      </c>
    </row>
    <row r="41" customFormat="false" ht="15" hidden="false" customHeight="false" outlineLevel="0" collapsed="false">
      <c r="A41" s="7" t="n">
        <v>8</v>
      </c>
      <c r="B41" s="7" t="s">
        <v>184</v>
      </c>
      <c r="C41" s="23" t="n">
        <v>1543</v>
      </c>
      <c r="D41" s="24" t="n">
        <f aca="false">Income_Statement!I14</f>
        <v>1543.09879121093</v>
      </c>
      <c r="E41" s="25" t="n">
        <f aca="false">D41-C41</f>
        <v>0.0987912109267199</v>
      </c>
      <c r="F41" s="26" t="n">
        <v>2</v>
      </c>
      <c r="G41" s="5" t="str">
        <f aca="false">IF(ABS(E41)&lt;=F41,"OK","REVIEW")</f>
        <v>OK</v>
      </c>
    </row>
    <row r="42" customFormat="false" ht="15" hidden="false" customHeight="false" outlineLevel="0" collapsed="false">
      <c r="A42" s="7" t="n">
        <v>9</v>
      </c>
      <c r="B42" s="7" t="s">
        <v>185</v>
      </c>
      <c r="C42" s="23" t="n">
        <v>1714</v>
      </c>
      <c r="D42" s="24" t="n">
        <f aca="false">Income_Statement!J14</f>
        <v>1713.59268296186</v>
      </c>
      <c r="E42" s="25" t="n">
        <f aca="false">D42-C42</f>
        <v>-0.407317038141628</v>
      </c>
      <c r="F42" s="26" t="n">
        <v>2</v>
      </c>
      <c r="G42" s="5" t="str">
        <f aca="false">IF(ABS(E42)&lt;=F42,"OK","REVIEW")</f>
        <v>OK</v>
      </c>
    </row>
    <row r="43" customFormat="false" ht="15" hidden="false" customHeight="false" outlineLevel="0" collapsed="false">
      <c r="A43" s="7" t="n">
        <v>10</v>
      </c>
      <c r="B43" s="7" t="s">
        <v>186</v>
      </c>
      <c r="C43" s="23" t="n">
        <v>1933</v>
      </c>
      <c r="D43" s="24" t="n">
        <f aca="false">Income_Statement!K14</f>
        <v>1933.34500243579</v>
      </c>
      <c r="E43" s="25" t="n">
        <f aca="false">D43-C43</f>
        <v>0.345002435791685</v>
      </c>
      <c r="F43" s="26" t="n">
        <v>2</v>
      </c>
      <c r="G43" s="5" t="str">
        <f aca="false">IF(ABS(E43)&lt;=F43,"OK","REVIEW")</f>
        <v>OK</v>
      </c>
    </row>
    <row r="44" customFormat="false" ht="15" hidden="false" customHeight="false" outlineLevel="0" collapsed="false">
      <c r="A44" s="7" t="n">
        <v>11</v>
      </c>
      <c r="B44" s="7" t="s">
        <v>187</v>
      </c>
      <c r="C44" s="23" t="n">
        <v>950</v>
      </c>
      <c r="D44" s="24" t="n">
        <f aca="false">Income_Statement!G17</f>
        <v>950.29192354987</v>
      </c>
      <c r="E44" s="25" t="n">
        <f aca="false">D44-C44</f>
        <v>0.291923549870035</v>
      </c>
      <c r="F44" s="26" t="n">
        <v>2</v>
      </c>
      <c r="G44" s="5" t="str">
        <f aca="false">IF(ABS(E44)&lt;=F44,"OK","REVIEW")</f>
        <v>OK</v>
      </c>
    </row>
    <row r="45" customFormat="false" ht="15" hidden="false" customHeight="false" outlineLevel="0" collapsed="false">
      <c r="A45" s="7" t="n">
        <v>12</v>
      </c>
      <c r="B45" s="7" t="s">
        <v>188</v>
      </c>
      <c r="C45" s="23" t="n">
        <v>1206</v>
      </c>
      <c r="D45" s="24" t="n">
        <f aca="false">Income_Statement!H17</f>
        <v>1206.28248589225</v>
      </c>
      <c r="E45" s="25" t="n">
        <f aca="false">D45-C45</f>
        <v>0.282485892254499</v>
      </c>
      <c r="F45" s="26" t="n">
        <v>2</v>
      </c>
      <c r="G45" s="5" t="str">
        <f aca="false">IF(ABS(E45)&lt;=F45,"OK","REVIEW")</f>
        <v>OK</v>
      </c>
    </row>
    <row r="46" customFormat="false" ht="15" hidden="false" customHeight="false" outlineLevel="0" collapsed="false">
      <c r="A46" s="7" t="n">
        <v>13</v>
      </c>
      <c r="B46" s="7" t="s">
        <v>189</v>
      </c>
      <c r="C46" s="23" t="n">
        <v>1420</v>
      </c>
      <c r="D46" s="24" t="n">
        <f aca="false">Income_Statement!I17</f>
        <v>1420.00685277947</v>
      </c>
      <c r="E46" s="25" t="n">
        <f aca="false">D46-C46</f>
        <v>0.00685277947195573</v>
      </c>
      <c r="F46" s="26" t="n">
        <v>2</v>
      </c>
      <c r="G46" s="5" t="str">
        <f aca="false">IF(ABS(E46)&lt;=F46,"OK","REVIEW")</f>
        <v>OK</v>
      </c>
    </row>
    <row r="47" customFormat="false" ht="15" hidden="false" customHeight="false" outlineLevel="0" collapsed="false">
      <c r="A47" s="7" t="n">
        <v>14</v>
      </c>
      <c r="B47" s="7" t="s">
        <v>190</v>
      </c>
      <c r="C47" s="23" t="n">
        <v>1575</v>
      </c>
      <c r="D47" s="24" t="n">
        <f aca="false">Income_Statement!J17</f>
        <v>1574.39717692898</v>
      </c>
      <c r="E47" s="25" t="n">
        <f aca="false">D47-C47</f>
        <v>-0.602823071023749</v>
      </c>
      <c r="F47" s="26" t="n">
        <v>2</v>
      </c>
      <c r="G47" s="5" t="str">
        <f aca="false">IF(ABS(E47)&lt;=F47,"OK","REVIEW")</f>
        <v>OK</v>
      </c>
    </row>
    <row r="48" customFormat="false" ht="15" hidden="false" customHeight="false" outlineLevel="0" collapsed="false">
      <c r="A48" s="7" t="n">
        <v>15</v>
      </c>
      <c r="B48" s="7" t="s">
        <v>191</v>
      </c>
      <c r="C48" s="23" t="n">
        <v>1776</v>
      </c>
      <c r="D48" s="24" t="n">
        <f aca="false">Income_Statement!K17</f>
        <v>1776.22968237927</v>
      </c>
      <c r="E48" s="25" t="n">
        <f aca="false">D48-C48</f>
        <v>0.229682379265114</v>
      </c>
      <c r="F48" s="26" t="n">
        <v>2</v>
      </c>
      <c r="G48" s="5" t="str">
        <f aca="false">IF(ABS(E48)&lt;=F48,"OK","REVIEW")</f>
        <v>OK</v>
      </c>
    </row>
    <row r="49" customFormat="false" ht="15" hidden="false" customHeight="false" outlineLevel="0" collapsed="false">
      <c r="A49" s="7" t="n">
        <v>16</v>
      </c>
      <c r="B49" s="7" t="s">
        <v>192</v>
      </c>
      <c r="C49" s="23" t="n">
        <v>1050</v>
      </c>
      <c r="D49" s="24" t="n">
        <f aca="false">Income_Statement!G23</f>
        <v>1049.43506588987</v>
      </c>
      <c r="E49" s="25" t="n">
        <f aca="false">D49-C49</f>
        <v>-0.564934110130025</v>
      </c>
      <c r="F49" s="26" t="n">
        <v>2</v>
      </c>
      <c r="G49" s="5" t="str">
        <f aca="false">IF(ABS(E49)&lt;=F49,"OK","REVIEW")</f>
        <v>OK</v>
      </c>
    </row>
    <row r="50" customFormat="false" ht="15" hidden="false" customHeight="false" outlineLevel="0" collapsed="false">
      <c r="A50" s="7" t="n">
        <v>17</v>
      </c>
      <c r="B50" s="7" t="s">
        <v>193</v>
      </c>
      <c r="C50" s="23" t="n">
        <v>1314</v>
      </c>
      <c r="D50" s="24" t="n">
        <f aca="false">Income_Statement!H23</f>
        <v>1312.95468615971</v>
      </c>
      <c r="E50" s="25" t="n">
        <f aca="false">D50-C50</f>
        <v>-1.04531384029224</v>
      </c>
      <c r="F50" s="26" t="n">
        <v>2</v>
      </c>
      <c r="G50" s="5" t="str">
        <f aca="false">IF(ABS(E50)&lt;=F50,"OK","REVIEW")</f>
        <v>OK</v>
      </c>
    </row>
    <row r="51" customFormat="false" ht="15" hidden="false" customHeight="false" outlineLevel="0" collapsed="false">
      <c r="A51" s="7" t="n">
        <v>18</v>
      </c>
      <c r="B51" s="7" t="s">
        <v>194</v>
      </c>
      <c r="C51" s="23" t="n">
        <v>1611</v>
      </c>
      <c r="D51" s="24" t="n">
        <f aca="false">Income_Statement!I23</f>
        <v>1610.48576761508</v>
      </c>
      <c r="E51" s="25" t="n">
        <f aca="false">D51-C51</f>
        <v>-0.514232384918159</v>
      </c>
      <c r="F51" s="26" t="n">
        <v>2</v>
      </c>
      <c r="G51" s="5" t="str">
        <f aca="false">IF(ABS(E51)&lt;=F51,"OK","REVIEW")</f>
        <v>OK</v>
      </c>
    </row>
    <row r="52" customFormat="false" ht="15" hidden="false" customHeight="false" outlineLevel="0" collapsed="false">
      <c r="A52" s="7" t="n">
        <v>19</v>
      </c>
      <c r="B52" s="7" t="s">
        <v>195</v>
      </c>
      <c r="C52" s="23" t="n">
        <v>1770</v>
      </c>
      <c r="D52" s="24" t="n">
        <f aca="false">Income_Statement!J23</f>
        <v>1769.45578465922</v>
      </c>
      <c r="E52" s="25" t="n">
        <f aca="false">D52-C52</f>
        <v>-0.544215340780738</v>
      </c>
      <c r="F52" s="26" t="n">
        <v>2</v>
      </c>
      <c r="G52" s="5" t="str">
        <f aca="false">IF(ABS(E52)&lt;=F52,"OK","REVIEW")</f>
        <v>OK</v>
      </c>
    </row>
    <row r="53" customFormat="false" ht="15" hidden="false" customHeight="false" outlineLevel="0" collapsed="false">
      <c r="A53" s="7" t="n">
        <v>20</v>
      </c>
      <c r="B53" s="7" t="s">
        <v>196</v>
      </c>
      <c r="C53" s="23" t="n">
        <v>2043</v>
      </c>
      <c r="D53" s="24" t="n">
        <f aca="false">Income_Statement!K23</f>
        <v>2042.49235411265</v>
      </c>
      <c r="E53" s="25" t="n">
        <f aca="false">D53-C53</f>
        <v>-0.507645887352737</v>
      </c>
      <c r="F53" s="26" t="n">
        <v>2</v>
      </c>
      <c r="G53" s="5" t="str">
        <f aca="false">IF(ABS(E53)&lt;=F53,"OK","REVIEW")</f>
        <v>OK</v>
      </c>
    </row>
    <row r="54" customFormat="false" ht="15" hidden="false" customHeight="false" outlineLevel="0" collapsed="false">
      <c r="A54" s="7" t="n">
        <v>21</v>
      </c>
      <c r="B54" s="7" t="s">
        <v>197</v>
      </c>
      <c r="C54" s="23" t="n">
        <v>735</v>
      </c>
      <c r="D54" s="24" t="n">
        <f aca="false">Income_Statement!G25</f>
        <v>734.604546122909</v>
      </c>
      <c r="E54" s="25" t="n">
        <f aca="false">D54-C54</f>
        <v>-0.395453877091086</v>
      </c>
      <c r="F54" s="26" t="n">
        <v>2</v>
      </c>
      <c r="G54" s="5" t="str">
        <f aca="false">IF(ABS(E54)&lt;=F54,"OK","REVIEW")</f>
        <v>OK</v>
      </c>
    </row>
    <row r="55" customFormat="false" ht="15" hidden="false" customHeight="false" outlineLevel="0" collapsed="false">
      <c r="A55" s="7" t="n">
        <v>22</v>
      </c>
      <c r="B55" s="7" t="s">
        <v>198</v>
      </c>
      <c r="C55" s="23" t="n">
        <v>919</v>
      </c>
      <c r="D55" s="24" t="n">
        <f aca="false">Income_Statement!H25</f>
        <v>919.068280311795</v>
      </c>
      <c r="E55" s="25" t="n">
        <f aca="false">D55-C55</f>
        <v>0.0682803117954336</v>
      </c>
      <c r="F55" s="26" t="n">
        <v>2</v>
      </c>
      <c r="G55" s="5" t="str">
        <f aca="false">IF(ABS(E55)&lt;=F55,"OK","REVIEW")</f>
        <v>OK</v>
      </c>
    </row>
    <row r="56" customFormat="false" ht="15" hidden="false" customHeight="false" outlineLevel="0" collapsed="false">
      <c r="A56" s="7" t="n">
        <v>23</v>
      </c>
      <c r="B56" s="7" t="s">
        <v>199</v>
      </c>
      <c r="C56" s="23" t="n">
        <v>1128</v>
      </c>
      <c r="D56" s="24" t="n">
        <f aca="false">Income_Statement!I25</f>
        <v>1127.34003733056</v>
      </c>
      <c r="E56" s="25" t="n">
        <f aca="false">D56-C56</f>
        <v>-0.659962669442621</v>
      </c>
      <c r="F56" s="26" t="n">
        <v>2</v>
      </c>
      <c r="G56" s="5" t="str">
        <f aca="false">IF(ABS(E56)&lt;=F56,"OK","REVIEW")</f>
        <v>OK</v>
      </c>
    </row>
    <row r="57" customFormat="false" ht="15" hidden="false" customHeight="false" outlineLevel="0" collapsed="false">
      <c r="A57" s="7" t="n">
        <v>24</v>
      </c>
      <c r="B57" s="7" t="s">
        <v>200</v>
      </c>
      <c r="C57" s="23" t="n">
        <v>1239</v>
      </c>
      <c r="D57" s="24" t="n">
        <f aca="false">Income_Statement!J25</f>
        <v>1238.61904926145</v>
      </c>
      <c r="E57" s="25" t="n">
        <f aca="false">D57-C57</f>
        <v>-0.380950738546517</v>
      </c>
      <c r="F57" s="26" t="n">
        <v>2</v>
      </c>
      <c r="G57" s="5" t="str">
        <f aca="false">IF(ABS(E57)&lt;=F57,"OK","REVIEW")</f>
        <v>OK</v>
      </c>
    </row>
    <row r="58" customFormat="false" ht="15" hidden="false" customHeight="false" outlineLevel="0" collapsed="false">
      <c r="A58" s="7" t="n">
        <v>25</v>
      </c>
      <c r="B58" s="7" t="s">
        <v>201</v>
      </c>
      <c r="C58" s="23" t="n">
        <v>1430</v>
      </c>
      <c r="D58" s="24" t="n">
        <f aca="false">Income_Statement!K25</f>
        <v>1429.74464787885</v>
      </c>
      <c r="E58" s="25" t="n">
        <f aca="false">D58-C58</f>
        <v>-0.255352121146871</v>
      </c>
      <c r="F58" s="26" t="n">
        <v>2</v>
      </c>
      <c r="G58" s="5" t="str">
        <f aca="false">IF(ABS(E58)&lt;=F58,"OK","REVIEW")</f>
        <v>OK</v>
      </c>
    </row>
    <row r="59" customFormat="false" ht="15" hidden="false" customHeight="false" outlineLevel="0" collapsed="false">
      <c r="A59" s="7" t="n">
        <v>26</v>
      </c>
      <c r="B59" s="7" t="s">
        <v>202</v>
      </c>
      <c r="C59" s="27" t="n">
        <v>22.22</v>
      </c>
      <c r="D59" s="28" t="n">
        <f aca="false">Income_Statement!G30</f>
        <v>22.2069088912609</v>
      </c>
      <c r="E59" s="25" t="n">
        <f aca="false">D59-C59</f>
        <v>-0.0130911087391468</v>
      </c>
      <c r="F59" s="26" t="n">
        <v>0.1</v>
      </c>
      <c r="G59" s="5" t="str">
        <f aca="false">IF(ABS(E59)&lt;=F59,"OK","REVIEW")</f>
        <v>OK</v>
      </c>
    </row>
    <row r="60" customFormat="false" ht="15" hidden="false" customHeight="false" outlineLevel="0" collapsed="false">
      <c r="A60" s="7" t="n">
        <v>27</v>
      </c>
      <c r="B60" s="7" t="s">
        <v>203</v>
      </c>
      <c r="C60" s="27" t="n">
        <v>43.23</v>
      </c>
      <c r="D60" s="28" t="n">
        <f aca="false">Income_Statement!K30</f>
        <v>43.2208176505095</v>
      </c>
      <c r="E60" s="25" t="n">
        <f aca="false">D60-C60</f>
        <v>-0.00918234949052987</v>
      </c>
      <c r="F60" s="26" t="n">
        <v>0.15</v>
      </c>
      <c r="G60" s="5" t="str">
        <f aca="false">IF(ABS(E60)&lt;=F60,"OK","REVIEW")</f>
        <v>OK</v>
      </c>
    </row>
    <row r="61" customFormat="false" ht="15" hidden="false" customHeight="false" outlineLevel="0" collapsed="false">
      <c r="A61" s="7" t="n">
        <v>28</v>
      </c>
      <c r="B61" s="7" t="s">
        <v>204</v>
      </c>
      <c r="C61" s="23" t="n">
        <v>93</v>
      </c>
      <c r="D61" s="24" t="n">
        <f aca="false">Income_Statement!G16</f>
        <v>92.8028942501299</v>
      </c>
      <c r="E61" s="25" t="n">
        <f aca="false">D61-C61</f>
        <v>-0.197105749870133</v>
      </c>
      <c r="F61" s="26" t="n">
        <v>1</v>
      </c>
      <c r="G61" s="5" t="str">
        <f aca="false">IF(ABS(E61)&lt;=F61,"OK","REVIEW")</f>
        <v>OK</v>
      </c>
    </row>
    <row r="62" customFormat="false" ht="15" hidden="false" customHeight="false" outlineLevel="0" collapsed="false">
      <c r="A62" s="7" t="n">
        <v>29</v>
      </c>
      <c r="B62" s="7" t="s">
        <v>205</v>
      </c>
      <c r="C62" s="23" t="n">
        <v>106</v>
      </c>
      <c r="D62" s="24" t="n">
        <f aca="false">Income_Statement!H16</f>
        <v>105.668059584088</v>
      </c>
      <c r="E62" s="25" t="n">
        <f aca="false">D62-C62</f>
        <v>-0.331940415912413</v>
      </c>
      <c r="F62" s="26" t="n">
        <v>1</v>
      </c>
      <c r="G62" s="5" t="str">
        <f aca="false">IF(ABS(E62)&lt;=F62,"OK","REVIEW")</f>
        <v>OK</v>
      </c>
    </row>
    <row r="63" customFormat="false" ht="15" hidden="false" customHeight="false" outlineLevel="0" collapsed="false">
      <c r="A63" s="7" t="n">
        <v>30</v>
      </c>
      <c r="B63" s="7" t="s">
        <v>206</v>
      </c>
      <c r="C63" s="23" t="n">
        <v>123</v>
      </c>
      <c r="D63" s="24" t="n">
        <f aca="false">Income_Statement!I16</f>
        <v>123.091938431455</v>
      </c>
      <c r="E63" s="25" t="n">
        <f aca="false">D63-C63</f>
        <v>0.0919384314548211</v>
      </c>
      <c r="F63" s="26" t="n">
        <v>1</v>
      </c>
      <c r="G63" s="5" t="str">
        <f aca="false">IF(ABS(E63)&lt;=F63,"OK","REVIEW")</f>
        <v>OK</v>
      </c>
    </row>
    <row r="64" customFormat="false" ht="15" hidden="false" customHeight="false" outlineLevel="0" collapsed="false">
      <c r="A64" s="7" t="n">
        <v>31</v>
      </c>
      <c r="B64" s="7" t="s">
        <v>207</v>
      </c>
      <c r="C64" s="23" t="n">
        <v>139</v>
      </c>
      <c r="D64" s="24" t="n">
        <f aca="false">Income_Statement!J16</f>
        <v>139.195506032882</v>
      </c>
      <c r="E64" s="25" t="n">
        <f aca="false">D64-C64</f>
        <v>0.195506032882122</v>
      </c>
      <c r="F64" s="26" t="n">
        <v>1</v>
      </c>
      <c r="G64" s="5" t="str">
        <f aca="false">IF(ABS(E64)&lt;=F64,"OK","REVIEW")</f>
        <v>OK</v>
      </c>
    </row>
    <row r="65" customFormat="false" ht="15" hidden="false" customHeight="false" outlineLevel="0" collapsed="false">
      <c r="A65" s="7" t="n">
        <v>32</v>
      </c>
      <c r="B65" s="7" t="s">
        <v>208</v>
      </c>
      <c r="C65" s="23" t="n">
        <v>157</v>
      </c>
      <c r="D65" s="24" t="n">
        <f aca="false">Income_Statement!K16</f>
        <v>157.115320056526</v>
      </c>
      <c r="E65" s="25" t="n">
        <f aca="false">D65-C65</f>
        <v>0.115320056526485</v>
      </c>
      <c r="F65" s="26" t="n">
        <v>1</v>
      </c>
      <c r="G65" s="5" t="str">
        <f aca="false">IF(ABS(E65)&lt;=F65,"OK","REVIEW")</f>
        <v>OK</v>
      </c>
    </row>
    <row r="66" customFormat="false" ht="15" hidden="false" customHeight="false" outlineLevel="0" collapsed="false">
      <c r="A66" s="7" t="n">
        <v>33</v>
      </c>
      <c r="B66" s="7" t="s">
        <v>209</v>
      </c>
      <c r="C66" s="23" t="n">
        <v>1099</v>
      </c>
      <c r="D66" s="24" t="n">
        <f aca="false">Balance_Sheet!G39</f>
        <v>1098.33749141709</v>
      </c>
      <c r="E66" s="25" t="n">
        <f aca="false">D66-C66</f>
        <v>-0.662508582911642</v>
      </c>
      <c r="F66" s="26" t="n">
        <v>5</v>
      </c>
      <c r="G66" s="5" t="str">
        <f aca="false">IF(ABS(E66)&lt;=F66,"OK","REVIEW")</f>
        <v>OK</v>
      </c>
    </row>
    <row r="67" customFormat="false" ht="15" hidden="false" customHeight="false" outlineLevel="0" collapsed="false">
      <c r="A67" s="7" t="n">
        <v>34</v>
      </c>
      <c r="B67" s="7" t="s">
        <v>210</v>
      </c>
      <c r="C67" s="23" t="n">
        <v>1302</v>
      </c>
      <c r="D67" s="24" t="n">
        <f aca="false">Balance_Sheet!H39</f>
        <v>1300.577824034</v>
      </c>
      <c r="E67" s="25" t="n">
        <f aca="false">D67-C67</f>
        <v>-1.42217596599926</v>
      </c>
      <c r="F67" s="26" t="n">
        <v>5</v>
      </c>
      <c r="G67" s="5" t="str">
        <f aca="false">IF(ABS(E67)&lt;=F67,"OK","REVIEW")</f>
        <v>OK</v>
      </c>
    </row>
    <row r="68" customFormat="false" ht="15" hidden="false" customHeight="false" outlineLevel="0" collapsed="false">
      <c r="A68" s="7" t="n">
        <v>35</v>
      </c>
      <c r="B68" s="7" t="s">
        <v>211</v>
      </c>
      <c r="C68" s="23" t="n">
        <v>1993</v>
      </c>
      <c r="D68" s="24" t="n">
        <f aca="false">Balance_Sheet!I39</f>
        <v>1990.80466065016</v>
      </c>
      <c r="E68" s="25" t="n">
        <f aca="false">D68-C68</f>
        <v>-2.19533934984065</v>
      </c>
      <c r="F68" s="26" t="n">
        <v>5</v>
      </c>
      <c r="G68" s="5" t="str">
        <f aca="false">IF(ABS(E68)&lt;=F68,"OK","REVIEW")</f>
        <v>OK</v>
      </c>
    </row>
    <row r="69" customFormat="false" ht="15" hidden="false" customHeight="false" outlineLevel="0" collapsed="false">
      <c r="A69" s="7" t="n">
        <v>36</v>
      </c>
      <c r="B69" s="7" t="s">
        <v>212</v>
      </c>
      <c r="C69" s="23" t="n">
        <v>2331</v>
      </c>
      <c r="D69" s="24" t="n">
        <f aca="false">Balance_Sheet!J39</f>
        <v>2328.16853424424</v>
      </c>
      <c r="E69" s="25" t="n">
        <f aca="false">D69-C69</f>
        <v>-2.83146575576166</v>
      </c>
      <c r="F69" s="26" t="n">
        <v>5</v>
      </c>
      <c r="G69" s="5" t="str">
        <f aca="false">IF(ABS(E69)&lt;=F69,"OK","REVIEW")</f>
        <v>OK</v>
      </c>
    </row>
    <row r="70" customFormat="false" ht="15" hidden="false" customHeight="false" outlineLevel="0" collapsed="false">
      <c r="A70" s="7" t="n">
        <v>37</v>
      </c>
      <c r="B70" s="7" t="s">
        <v>213</v>
      </c>
      <c r="C70" s="23" t="n">
        <v>3369</v>
      </c>
      <c r="D70" s="24" t="n">
        <f aca="false">Balance_Sheet!K39</f>
        <v>3365.20828764719</v>
      </c>
      <c r="E70" s="25" t="n">
        <f aca="false">D70-C70</f>
        <v>-3.79171235280592</v>
      </c>
      <c r="F70" s="26" t="n">
        <v>5</v>
      </c>
      <c r="G70" s="5" t="str">
        <f aca="false">IF(ABS(E70)&lt;=F70,"OK","REVIEW")</f>
        <v>OK</v>
      </c>
    </row>
    <row r="71" customFormat="false" ht="15" hidden="false" customHeight="false" outlineLevel="0" collapsed="false">
      <c r="A71" s="7" t="n">
        <v>38</v>
      </c>
      <c r="B71" s="7" t="s">
        <v>214</v>
      </c>
      <c r="C71" s="23" t="n">
        <v>15545</v>
      </c>
      <c r="D71" s="24" t="n">
        <f aca="false">Balance_Sheet!G41</f>
        <v>15543.7452613061</v>
      </c>
      <c r="E71" s="25" t="n">
        <f aca="false">D71-C71</f>
        <v>-1.25473869386406</v>
      </c>
      <c r="F71" s="26" t="n">
        <v>5</v>
      </c>
      <c r="G71" s="5" t="str">
        <f aca="false">IF(ABS(E71)&lt;=F71,"OK","REVIEW")</f>
        <v>OK</v>
      </c>
    </row>
    <row r="72" customFormat="false" ht="15" hidden="false" customHeight="false" outlineLevel="0" collapsed="false">
      <c r="A72" s="7" t="n">
        <v>39</v>
      </c>
      <c r="B72" s="7" t="s">
        <v>215</v>
      </c>
      <c r="C72" s="23" t="n">
        <v>17260</v>
      </c>
      <c r="D72" s="24" t="n">
        <f aca="false">Balance_Sheet!H41</f>
        <v>17257.9348829851</v>
      </c>
      <c r="E72" s="25" t="n">
        <f aca="false">D72-C72</f>
        <v>-2.06511701493946</v>
      </c>
      <c r="F72" s="26" t="n">
        <v>5</v>
      </c>
      <c r="G72" s="5" t="str">
        <f aca="false">IF(ABS(E72)&lt;=F72,"OK","REVIEW")</f>
        <v>OK</v>
      </c>
    </row>
    <row r="73" customFormat="false" ht="15" hidden="false" customHeight="false" outlineLevel="0" collapsed="false">
      <c r="A73" s="7" t="n">
        <v>40</v>
      </c>
      <c r="B73" s="7" t="s">
        <v>216</v>
      </c>
      <c r="C73" s="23" t="n">
        <v>19337</v>
      </c>
      <c r="D73" s="24" t="n">
        <f aca="false">Balance_Sheet!I41</f>
        <v>19334.1717550637</v>
      </c>
      <c r="E73" s="25" t="n">
        <f aca="false">D73-C73</f>
        <v>-2.82824493634689</v>
      </c>
      <c r="F73" s="26" t="n">
        <v>5</v>
      </c>
      <c r="G73" s="5" t="str">
        <f aca="false">IF(ABS(E73)&lt;=F73,"OK","REVIEW")</f>
        <v>OK</v>
      </c>
    </row>
    <row r="74" customFormat="false" ht="15" hidden="false" customHeight="false" outlineLevel="0" collapsed="false">
      <c r="A74" s="7" t="n">
        <v>41</v>
      </c>
      <c r="B74" s="7" t="s">
        <v>217</v>
      </c>
      <c r="C74" s="23" t="n">
        <v>21392</v>
      </c>
      <c r="D74" s="24" t="n">
        <f aca="false">Balance_Sheet!J41</f>
        <v>21388.7408596803</v>
      </c>
      <c r="E74" s="25" t="n">
        <f aca="false">D74-C74</f>
        <v>-3.25914031975117</v>
      </c>
      <c r="F74" s="26" t="n">
        <v>5</v>
      </c>
      <c r="G74" s="5" t="str">
        <f aca="false">IF(ABS(E74)&lt;=F74,"OK","REVIEW")</f>
        <v>OK</v>
      </c>
    </row>
    <row r="75" customFormat="false" ht="15" hidden="false" customHeight="false" outlineLevel="0" collapsed="false">
      <c r="A75" s="7" t="n">
        <v>42</v>
      </c>
      <c r="B75" s="7" t="s">
        <v>218</v>
      </c>
      <c r="C75" s="23" t="n">
        <v>23880</v>
      </c>
      <c r="D75" s="24" t="n">
        <f aca="false">Balance_Sheet!K41</f>
        <v>23875.9398433815</v>
      </c>
      <c r="E75" s="25" t="n">
        <f aca="false">D75-C75</f>
        <v>-4.06015661845595</v>
      </c>
      <c r="F75" s="26" t="n">
        <v>5</v>
      </c>
      <c r="G75" s="5" t="str">
        <f aca="false">IF(ABS(E75)&lt;=F75,"OK","REVIEW")</f>
        <v>OK</v>
      </c>
    </row>
    <row r="76" customFormat="false" ht="15" hidden="false" customHeight="false" outlineLevel="0" collapsed="false">
      <c r="A76" s="7" t="n">
        <v>43</v>
      </c>
      <c r="B76" s="7" t="s">
        <v>219</v>
      </c>
      <c r="C76" s="23" t="n">
        <v>-153</v>
      </c>
      <c r="D76" s="24" t="n">
        <f aca="false">WC_Schedule!G22</f>
        <v>-152.67429581589</v>
      </c>
      <c r="E76" s="25" t="n">
        <f aca="false">D76-C76</f>
        <v>0.325704184109782</v>
      </c>
      <c r="F76" s="26" t="n">
        <v>1</v>
      </c>
      <c r="G76" s="5" t="str">
        <f aca="false">IF(ABS(E76)&lt;=F76,"OK","REVIEW")</f>
        <v>OK</v>
      </c>
    </row>
    <row r="77" customFormat="false" ht="15" hidden="false" customHeight="false" outlineLevel="0" collapsed="false">
      <c r="A77" s="7" t="n">
        <v>44</v>
      </c>
      <c r="B77" s="7" t="s">
        <v>220</v>
      </c>
      <c r="C77" s="23" t="n">
        <v>-474</v>
      </c>
      <c r="D77" s="24" t="n">
        <f aca="false">WC_Schedule!H22</f>
        <v>-473.846118852137</v>
      </c>
      <c r="E77" s="25" t="n">
        <f aca="false">D77-C77</f>
        <v>0.153881147863103</v>
      </c>
      <c r="F77" s="26" t="n">
        <v>1</v>
      </c>
      <c r="G77" s="5" t="str">
        <f aca="false">IF(ABS(E77)&lt;=F77,"OK","REVIEW")</f>
        <v>OK</v>
      </c>
    </row>
    <row r="78" customFormat="false" ht="15" hidden="false" customHeight="false" outlineLevel="0" collapsed="false">
      <c r="A78" s="7" t="n">
        <v>45</v>
      </c>
      <c r="B78" s="7" t="s">
        <v>221</v>
      </c>
      <c r="C78" s="23" t="n">
        <v>-111</v>
      </c>
      <c r="D78" s="24" t="n">
        <f aca="false">WC_Schedule!I22</f>
        <v>-110.731186645851</v>
      </c>
      <c r="E78" s="25" t="n">
        <f aca="false">D78-C78</f>
        <v>0.268813354149188</v>
      </c>
      <c r="F78" s="26" t="n">
        <v>1</v>
      </c>
      <c r="G78" s="5" t="str">
        <f aca="false">IF(ABS(E78)&lt;=F78,"OK","REVIEW")</f>
        <v>OK</v>
      </c>
    </row>
    <row r="79" customFormat="false" ht="15" hidden="false" customHeight="false" outlineLevel="0" collapsed="false">
      <c r="A79" s="7" t="n">
        <v>46</v>
      </c>
      <c r="B79" s="7" t="s">
        <v>222</v>
      </c>
      <c r="C79" s="23" t="n">
        <v>-656</v>
      </c>
      <c r="D79" s="24" t="n">
        <f aca="false">WC_Schedule!J22</f>
        <v>-655.554467088097</v>
      </c>
      <c r="E79" s="25" t="n">
        <f aca="false">D79-C79</f>
        <v>0.445532911903229</v>
      </c>
      <c r="F79" s="26" t="n">
        <v>1</v>
      </c>
      <c r="G79" s="5" t="str">
        <f aca="false">IF(ABS(E79)&lt;=F79,"OK","REVIEW")</f>
        <v>OK</v>
      </c>
    </row>
    <row r="80" customFormat="false" ht="15" hidden="false" customHeight="false" outlineLevel="0" collapsed="false">
      <c r="A80" s="7" t="n">
        <v>47</v>
      </c>
      <c r="B80" s="7" t="s">
        <v>223</v>
      </c>
      <c r="C80" s="23" t="n">
        <v>-109</v>
      </c>
      <c r="D80" s="24" t="n">
        <f aca="false">WC_Schedule!K22</f>
        <v>-108.881281879848</v>
      </c>
      <c r="E80" s="25" t="n">
        <f aca="false">D80-C80</f>
        <v>0.118718120151698</v>
      </c>
      <c r="F80" s="26" t="n">
        <v>1</v>
      </c>
      <c r="G80" s="5" t="str">
        <f aca="false">IF(ABS(E80)&lt;=F80,"OK","REVIEW")</f>
        <v>OK</v>
      </c>
    </row>
    <row r="81" customFormat="false" ht="15" hidden="false" customHeight="false" outlineLevel="0" collapsed="false">
      <c r="A81" s="7" t="n">
        <v>48</v>
      </c>
      <c r="B81" s="7" t="s">
        <v>224</v>
      </c>
      <c r="C81" s="23" t="n">
        <v>776</v>
      </c>
      <c r="D81" s="24" t="n">
        <f aca="false">Cash_Flow!G13</f>
        <v>775.731214217149</v>
      </c>
      <c r="E81" s="25" t="n">
        <f aca="false">D81-C81</f>
        <v>-0.26878578285141</v>
      </c>
      <c r="F81" s="26" t="n">
        <v>2</v>
      </c>
      <c r="G81" s="5" t="str">
        <f aca="false">IF(ABS(E81)&lt;=F81,"OK","REVIEW")</f>
        <v>OK</v>
      </c>
    </row>
    <row r="82" customFormat="false" ht="15" hidden="false" customHeight="false" outlineLevel="0" collapsed="false">
      <c r="A82" s="7" t="n">
        <v>49</v>
      </c>
      <c r="B82" s="7" t="s">
        <v>225</v>
      </c>
      <c r="C82" s="23" t="n">
        <v>656</v>
      </c>
      <c r="D82" s="24" t="n">
        <f aca="false">Cash_Flow!H13</f>
        <v>655.465989161426</v>
      </c>
      <c r="E82" s="25" t="n">
        <f aca="false">D82-C82</f>
        <v>-0.534010838574432</v>
      </c>
      <c r="F82" s="26" t="n">
        <v>2</v>
      </c>
      <c r="G82" s="5" t="str">
        <f aca="false">IF(ABS(E82)&lt;=F82,"OK","REVIEW")</f>
        <v>OK</v>
      </c>
    </row>
    <row r="83" customFormat="false" ht="15" hidden="false" customHeight="false" outlineLevel="0" collapsed="false">
      <c r="A83" s="7" t="n">
        <v>50</v>
      </c>
      <c r="B83" s="7" t="s">
        <v>226</v>
      </c>
      <c r="C83" s="23" t="n">
        <v>1247</v>
      </c>
      <c r="D83" s="24" t="n">
        <f aca="false">Cash_Flow!I13</f>
        <v>1246.8604273947</v>
      </c>
      <c r="E83" s="25" t="n">
        <f aca="false">D83-C83</f>
        <v>-0.139572605301964</v>
      </c>
      <c r="F83" s="26" t="n">
        <v>2</v>
      </c>
      <c r="G83" s="5" t="str">
        <f aca="false">IF(ABS(E83)&lt;=F83,"OK","REVIEW")</f>
        <v>OK</v>
      </c>
    </row>
    <row r="84" customFormat="false" ht="15" hidden="false" customHeight="false" outlineLevel="0" collapsed="false">
      <c r="A84" s="7" t="n">
        <v>51</v>
      </c>
      <c r="B84" s="7" t="s">
        <v>227</v>
      </c>
      <c r="C84" s="23" t="n">
        <v>842</v>
      </c>
      <c r="D84" s="24" t="n">
        <f aca="false">Cash_Flow!J13</f>
        <v>841.25958007859</v>
      </c>
      <c r="E84" s="25" t="n">
        <f aca="false">D84-C84</f>
        <v>-0.740419921409739</v>
      </c>
      <c r="F84" s="26" t="n">
        <v>2</v>
      </c>
      <c r="G84" s="5" t="str">
        <f aca="false">IF(ABS(E84)&lt;=F84,"OK","REVIEW")</f>
        <v>OK</v>
      </c>
    </row>
    <row r="85" customFormat="false" ht="15" hidden="false" customHeight="false" outlineLevel="0" collapsed="false">
      <c r="A85" s="7" t="n">
        <v>52</v>
      </c>
      <c r="B85" s="7" t="s">
        <v>228</v>
      </c>
      <c r="C85" s="23" t="n">
        <v>1611</v>
      </c>
      <c r="D85" s="24" t="n">
        <f aca="false">Cash_Flow!K13</f>
        <v>1610.39957663333</v>
      </c>
      <c r="E85" s="25" t="n">
        <f aca="false">D85-C85</f>
        <v>-0.600423366674704</v>
      </c>
      <c r="F85" s="26" t="n">
        <v>2</v>
      </c>
      <c r="G85" s="5" t="str">
        <f aca="false">IF(ABS(E85)&lt;=F85,"OK","REVIEW")</f>
        <v>OK</v>
      </c>
    </row>
    <row r="86" customFormat="false" ht="15" hidden="false" customHeight="false" outlineLevel="0" collapsed="false">
      <c r="A86" s="7" t="n">
        <v>53</v>
      </c>
      <c r="B86" s="7" t="s">
        <v>229</v>
      </c>
      <c r="C86" s="23" t="n">
        <v>400</v>
      </c>
      <c r="D86" s="24" t="n">
        <f aca="false">Cash_Flow!G43</f>
        <v>400.025393479149</v>
      </c>
      <c r="E86" s="25" t="n">
        <f aca="false">D86-C86</f>
        <v>0.0253934791486472</v>
      </c>
      <c r="F86" s="26" t="n">
        <v>2</v>
      </c>
      <c r="G86" s="5" t="str">
        <f aca="false">IF(ABS(E86)&lt;=F86,"OK","REVIEW")</f>
        <v>OK</v>
      </c>
    </row>
    <row r="87" customFormat="false" ht="15" hidden="false" customHeight="false" outlineLevel="0" collapsed="false">
      <c r="A87" s="7" t="n">
        <v>54</v>
      </c>
      <c r="B87" s="7" t="s">
        <v>230</v>
      </c>
      <c r="C87" s="23" t="n">
        <v>240</v>
      </c>
      <c r="D87" s="24" t="n">
        <f aca="false">Cash_Flow!H43</f>
        <v>240.448858191215</v>
      </c>
      <c r="E87" s="25" t="n">
        <f aca="false">D87-C87</f>
        <v>0.448858191215322</v>
      </c>
      <c r="F87" s="26" t="n">
        <v>2</v>
      </c>
      <c r="G87" s="5" t="str">
        <f aca="false">IF(ABS(E87)&lt;=F87,"OK","REVIEW")</f>
        <v>OK</v>
      </c>
    </row>
    <row r="88" customFormat="false" ht="15" hidden="false" customHeight="false" outlineLevel="0" collapsed="false">
      <c r="A88" s="7" t="n">
        <v>55</v>
      </c>
      <c r="B88" s="7" t="s">
        <v>231</v>
      </c>
      <c r="C88" s="23" t="n">
        <v>676</v>
      </c>
      <c r="D88" s="24" t="n">
        <f aca="false">Cash_Flow!I43</f>
        <v>676.313862833342</v>
      </c>
      <c r="E88" s="25" t="n">
        <f aca="false">D88-C88</f>
        <v>0.313862833341773</v>
      </c>
      <c r="F88" s="26" t="n">
        <v>2</v>
      </c>
      <c r="G88" s="5" t="str">
        <f aca="false">IF(ABS(E88)&lt;=F88,"OK","REVIEW")</f>
        <v>OK</v>
      </c>
    </row>
    <row r="89" customFormat="false" ht="15" hidden="false" customHeight="false" outlineLevel="0" collapsed="false">
      <c r="A89" s="7" t="n">
        <v>56</v>
      </c>
      <c r="B89" s="7" t="s">
        <v>232</v>
      </c>
      <c r="C89" s="23" t="n">
        <v>291</v>
      </c>
      <c r="D89" s="24" t="n">
        <f aca="false">Cash_Flow!J43</f>
        <v>290.600322951637</v>
      </c>
      <c r="E89" s="25" t="n">
        <f aca="false">D89-C89</f>
        <v>-0.399677048362719</v>
      </c>
      <c r="F89" s="26" t="n">
        <v>2</v>
      </c>
      <c r="G89" s="5" t="str">
        <f aca="false">IF(ABS(E89)&lt;=F89,"OK","REVIEW")</f>
        <v>OK</v>
      </c>
    </row>
    <row r="90" customFormat="false" ht="15" hidden="false" customHeight="false" outlineLevel="0" collapsed="false">
      <c r="A90" s="7" t="n">
        <v>57</v>
      </c>
      <c r="B90" s="7" t="s">
        <v>233</v>
      </c>
      <c r="C90" s="23" t="n">
        <v>963</v>
      </c>
      <c r="D90" s="24" t="n">
        <f aca="false">Cash_Flow!K43</f>
        <v>963.191007209234</v>
      </c>
      <c r="E90" s="25" t="n">
        <f aca="false">D90-C90</f>
        <v>0.191007209234385</v>
      </c>
      <c r="F90" s="26" t="n">
        <v>2</v>
      </c>
      <c r="G90" s="5" t="str">
        <f aca="false">IF(ABS(E90)&lt;=F90,"OK","REVIEW")</f>
        <v>OK</v>
      </c>
    </row>
    <row r="91" customFormat="false" ht="15" hidden="false" customHeight="false" outlineLevel="0" collapsed="false">
      <c r="A91" s="7" t="n">
        <v>58</v>
      </c>
      <c r="B91" s="7" t="s">
        <v>234</v>
      </c>
      <c r="C91" s="23" t="n">
        <v>330</v>
      </c>
      <c r="D91" s="24" t="n">
        <f aca="false">Cash_Flow!G46</f>
        <v>329.427115737088</v>
      </c>
      <c r="E91" s="25" t="n">
        <f aca="false">D91-C91</f>
        <v>-0.5728842629116</v>
      </c>
      <c r="F91" s="26" t="n">
        <v>2</v>
      </c>
      <c r="G91" s="5" t="str">
        <f aca="false">IF(ABS(E91)&lt;=F91,"OK","REVIEW")</f>
        <v>OK</v>
      </c>
    </row>
    <row r="92" customFormat="false" ht="15" hidden="false" customHeight="false" outlineLevel="0" collapsed="false">
      <c r="A92" s="7" t="n">
        <v>59</v>
      </c>
      <c r="B92" s="7" t="s">
        <v>235</v>
      </c>
      <c r="C92" s="23" t="n">
        <v>210</v>
      </c>
      <c r="D92" s="24" t="n">
        <f aca="false">Cash_Flow!H46</f>
        <v>209.503285972995</v>
      </c>
      <c r="E92" s="25" t="n">
        <f aca="false">D92-C92</f>
        <v>-0.496714027004884</v>
      </c>
      <c r="F92" s="26" t="n">
        <v>2</v>
      </c>
      <c r="G92" s="5" t="str">
        <f aca="false">IF(ABS(E92)&lt;=F92,"OK","REVIEW")</f>
        <v>OK</v>
      </c>
    </row>
    <row r="93" customFormat="false" ht="15" hidden="false" customHeight="false" outlineLevel="0" collapsed="false">
      <c r="A93" s="7" t="n">
        <v>60</v>
      </c>
      <c r="B93" s="7" t="s">
        <v>236</v>
      </c>
      <c r="C93" s="23" t="n">
        <v>640</v>
      </c>
      <c r="D93" s="24" t="n">
        <f aca="false">Cash_Flow!I46</f>
        <v>639.918162623105</v>
      </c>
      <c r="E93" s="25" t="n">
        <f aca="false">D93-C93</f>
        <v>-0.0818373768951233</v>
      </c>
      <c r="F93" s="26" t="n">
        <v>2</v>
      </c>
      <c r="G93" s="5" t="str">
        <f aca="false">IF(ABS(E93)&lt;=F93,"OK","REVIEW")</f>
        <v>OK</v>
      </c>
    </row>
    <row r="94" customFormat="false" ht="15" hidden="false" customHeight="false" outlineLevel="0" collapsed="false">
      <c r="A94" s="7" t="n">
        <v>61</v>
      </c>
      <c r="B94" s="7" t="s">
        <v>237</v>
      </c>
      <c r="C94" s="23" t="n">
        <v>278</v>
      </c>
      <c r="D94" s="24" t="n">
        <f aca="false">Cash_Flow!J46</f>
        <v>278.403081921627</v>
      </c>
      <c r="E94" s="25" t="n">
        <f aca="false">D94-C94</f>
        <v>0.403081921627177</v>
      </c>
      <c r="F94" s="26" t="n">
        <v>2</v>
      </c>
      <c r="G94" s="5" t="str">
        <f aca="false">IF(ABS(E94)&lt;=F94,"OK","REVIEW")</f>
        <v>OK</v>
      </c>
    </row>
    <row r="95" customFormat="false" ht="15" hidden="false" customHeight="false" outlineLevel="0" collapsed="false">
      <c r="A95" s="7" t="n">
        <v>62</v>
      </c>
      <c r="B95" s="7" t="s">
        <v>238</v>
      </c>
      <c r="C95" s="23" t="n">
        <v>922</v>
      </c>
      <c r="D95" s="24" t="n">
        <f aca="false">Cash_Flow!K46</f>
        <v>922.062273523803</v>
      </c>
      <c r="E95" s="25" t="n">
        <f aca="false">D95-C95</f>
        <v>0.0622735238029009</v>
      </c>
      <c r="F95" s="26" t="n">
        <v>2</v>
      </c>
      <c r="G95" s="5" t="str">
        <f aca="false">IF(ABS(E95)&lt;=F95,"OK","REVIEW")</f>
        <v>OK</v>
      </c>
    </row>
    <row r="96" customFormat="false" ht="15" hidden="false" customHeight="false" outlineLevel="0" collapsed="false">
      <c r="A96" s="7" t="n">
        <v>63</v>
      </c>
      <c r="B96" s="7" t="s">
        <v>239</v>
      </c>
      <c r="C96" s="29" t="n">
        <v>0.11</v>
      </c>
      <c r="D96" s="30" t="n">
        <f aca="false">Ratios!G11</f>
        <v>0.109640141385722</v>
      </c>
      <c r="E96" s="31" t="n">
        <f aca="false">D96-C96</f>
        <v>-0.000359858614278258</v>
      </c>
      <c r="F96" s="26" t="n">
        <v>0.002</v>
      </c>
      <c r="G96" s="5" t="str">
        <f aca="false">IF(ABS(E96)&lt;=F96,"OK","REVIEW")</f>
        <v>OK</v>
      </c>
    </row>
    <row r="97" customFormat="false" ht="15" hidden="false" customHeight="false" outlineLevel="0" collapsed="false">
      <c r="A97" s="7" t="n">
        <v>64</v>
      </c>
      <c r="B97" s="7" t="s">
        <v>240</v>
      </c>
      <c r="C97" s="29" t="n">
        <v>0.119</v>
      </c>
      <c r="D97" s="30" t="n">
        <f aca="false">Ratios!G12</f>
        <v>0.11903370981265</v>
      </c>
      <c r="E97" s="31" t="n">
        <f aca="false">D97-C97</f>
        <v>3.37098126501761E-005</v>
      </c>
      <c r="F97" s="26" t="n">
        <v>0.002</v>
      </c>
      <c r="G97" s="5" t="str">
        <f aca="false">IF(ABS(E97)&lt;=F97,"OK","REVIEW")</f>
        <v>OK</v>
      </c>
    </row>
    <row r="98" customFormat="false" ht="15" hidden="false" customHeight="false" outlineLevel="0" collapsed="false">
      <c r="A98" s="7" t="n">
        <v>65</v>
      </c>
      <c r="B98" s="7" t="s">
        <v>241</v>
      </c>
      <c r="C98" s="32" t="n">
        <v>32.6</v>
      </c>
      <c r="D98" s="33" t="n">
        <f aca="false">Ratios!G33</f>
        <v>32.6340446704526</v>
      </c>
      <c r="E98" s="25" t="n">
        <f aca="false">D98-C98</f>
        <v>0.0340446704526372</v>
      </c>
      <c r="F98" s="26" t="n">
        <v>0.2</v>
      </c>
      <c r="G98" s="5" t="str">
        <f aca="false">IF(ABS(E98)&lt;=F98,"OK","REVIEW")</f>
        <v>OK</v>
      </c>
    </row>
    <row r="99" customFormat="false" ht="15" hidden="false" customHeight="false" outlineLevel="0" collapsed="false">
      <c r="A99" s="7" t="n">
        <v>66</v>
      </c>
      <c r="B99" s="7" t="s">
        <v>242</v>
      </c>
      <c r="C99" s="32" t="n">
        <v>46.5</v>
      </c>
      <c r="D99" s="33" t="n">
        <f aca="false">Ratios!G34</f>
        <v>46.5170548975648</v>
      </c>
      <c r="E99" s="25" t="n">
        <f aca="false">D99-C99</f>
        <v>0.017054897564762</v>
      </c>
      <c r="F99" s="26" t="n">
        <v>0.2</v>
      </c>
      <c r="G99" s="5" t="str">
        <f aca="false">IF(ABS(E99)&lt;=F99,"OK","REVIEW")</f>
        <v>OK</v>
      </c>
    </row>
    <row r="100" customFormat="false" ht="15" hidden="false" customHeight="false" outlineLevel="0" collapsed="false">
      <c r="A100" s="7" t="n">
        <v>67</v>
      </c>
      <c r="B100" s="7" t="s">
        <v>243</v>
      </c>
      <c r="C100" s="34" t="n">
        <v>0.93</v>
      </c>
      <c r="D100" s="35" t="n">
        <f aca="false">WACC!I6</f>
        <v>0.932207026918339</v>
      </c>
      <c r="E100" s="25" t="n">
        <f aca="false">D100-C100</f>
        <v>0.00220702691833885</v>
      </c>
      <c r="F100" s="26" t="n">
        <v>0.01</v>
      </c>
      <c r="G100" s="5" t="str">
        <f aca="false">IF(ABS(E100)&lt;=F100,"OK","REVIEW")</f>
        <v>OK</v>
      </c>
    </row>
    <row r="101" customFormat="false" ht="15" hidden="false" customHeight="false" outlineLevel="0" collapsed="false">
      <c r="A101" s="7" t="n">
        <v>68</v>
      </c>
      <c r="B101" s="7" t="s">
        <v>244</v>
      </c>
      <c r="C101" s="34" t="n">
        <v>1.18</v>
      </c>
      <c r="D101" s="35" t="n">
        <f aca="false">WACC!I7</f>
        <v>1.1809716254796</v>
      </c>
      <c r="E101" s="25" t="n">
        <f aca="false">D101-C101</f>
        <v>0.000971625479604166</v>
      </c>
      <c r="F101" s="26" t="n">
        <v>0.01</v>
      </c>
      <c r="G101" s="5" t="str">
        <f aca="false">IF(ABS(E101)&lt;=F101,"OK","REVIEW")</f>
        <v>OK</v>
      </c>
    </row>
    <row r="102" customFormat="false" ht="15" hidden="false" customHeight="false" outlineLevel="0" collapsed="false">
      <c r="A102" s="7" t="n">
        <v>69</v>
      </c>
      <c r="B102" s="7" t="s">
        <v>245</v>
      </c>
      <c r="C102" s="34" t="n">
        <v>1.63</v>
      </c>
      <c r="D102" s="35" t="n">
        <f aca="false">WACC!I8</f>
        <v>1.63162390780663</v>
      </c>
      <c r="E102" s="25" t="n">
        <f aca="false">D102-C102</f>
        <v>0.00162390780662602</v>
      </c>
      <c r="F102" s="26" t="n">
        <v>0.01</v>
      </c>
      <c r="G102" s="5" t="str">
        <f aca="false">IF(ABS(E102)&lt;=F102,"OK","REVIEW")</f>
        <v>OK</v>
      </c>
    </row>
    <row r="103" customFormat="false" ht="15" hidden="false" customHeight="false" outlineLevel="0" collapsed="false">
      <c r="A103" s="7" t="n">
        <v>70</v>
      </c>
      <c r="B103" s="7" t="s">
        <v>246</v>
      </c>
      <c r="C103" s="34" t="n">
        <v>1.14</v>
      </c>
      <c r="D103" s="35" t="n">
        <f aca="false">WACC!I9</f>
        <v>1.13739034533582</v>
      </c>
      <c r="E103" s="25" t="n">
        <f aca="false">D103-C103</f>
        <v>-0.00260965466417962</v>
      </c>
      <c r="F103" s="26" t="n">
        <v>0.01</v>
      </c>
      <c r="G103" s="5" t="str">
        <f aca="false">IF(ABS(E103)&lt;=F103,"OK","REVIEW")</f>
        <v>OK</v>
      </c>
    </row>
    <row r="104" customFormat="false" ht="15" hidden="false" customHeight="false" outlineLevel="0" collapsed="false">
      <c r="A104" s="7" t="n">
        <v>71</v>
      </c>
      <c r="B104" s="7" t="s">
        <v>247</v>
      </c>
      <c r="C104" s="34" t="n">
        <v>0.74</v>
      </c>
      <c r="D104" s="35" t="n">
        <f aca="false">WACC!I5</f>
        <v>0.740250793866333</v>
      </c>
      <c r="E104" s="25" t="n">
        <f aca="false">D104-C104</f>
        <v>0.000250793866333088</v>
      </c>
      <c r="F104" s="26" t="n">
        <v>0.01</v>
      </c>
      <c r="G104" s="5" t="str">
        <f aca="false">IF(ABS(E104)&lt;=F104,"OK","REVIEW")</f>
        <v>OK</v>
      </c>
    </row>
    <row r="105" customFormat="false" ht="15" hidden="false" customHeight="false" outlineLevel="0" collapsed="false">
      <c r="A105" s="7" t="n">
        <v>72</v>
      </c>
      <c r="B105" s="7" t="s">
        <v>248</v>
      </c>
      <c r="C105" s="34" t="n">
        <v>1.14</v>
      </c>
      <c r="D105" s="35" t="n">
        <f aca="false">WACC!B31</f>
        <v>1.14265101788708</v>
      </c>
      <c r="E105" s="25" t="n">
        <f aca="false">D105-C105</f>
        <v>0.00265101788707534</v>
      </c>
      <c r="F105" s="26" t="n">
        <v>0.01</v>
      </c>
      <c r="G105" s="5" t="str">
        <f aca="false">IF(ABS(E105)&lt;=F105,"OK","REVIEW")</f>
        <v>OK</v>
      </c>
    </row>
    <row r="106" customFormat="false" ht="15" hidden="false" customHeight="false" outlineLevel="0" collapsed="false">
      <c r="A106" s="7" t="n">
        <v>73</v>
      </c>
      <c r="B106" s="7" t="s">
        <v>249</v>
      </c>
      <c r="C106" s="29" t="n">
        <v>0.138</v>
      </c>
      <c r="D106" s="30" t="n">
        <f aca="false">WACC!B37</f>
        <v>0.137988457001676</v>
      </c>
      <c r="E106" s="31" t="n">
        <f aca="false">D106-C106</f>
        <v>-1.1542998323788E-005</v>
      </c>
      <c r="F106" s="26" t="n">
        <v>0.001</v>
      </c>
      <c r="G106" s="5" t="str">
        <f aca="false">IF(ABS(E106)&lt;=F106,"OK","REVIEW")</f>
        <v>OK</v>
      </c>
    </row>
    <row r="107" customFormat="false" ht="15" hidden="false" customHeight="false" outlineLevel="0" collapsed="false">
      <c r="A107" s="7" t="n">
        <v>74</v>
      </c>
      <c r="B107" s="7" t="s">
        <v>250</v>
      </c>
      <c r="C107" s="29" t="n">
        <v>0.137</v>
      </c>
      <c r="D107" s="30" t="n">
        <f aca="false">WACC!B44</f>
        <v>0.136428687861643</v>
      </c>
      <c r="E107" s="31" t="n">
        <f aca="false">D107-C107</f>
        <v>-0.000571312138357316</v>
      </c>
      <c r="F107" s="26" t="n">
        <v>0.002</v>
      </c>
      <c r="G107" s="5" t="str">
        <f aca="false">IF(ABS(E107)&lt;=F107,"OK","REVIEW")</f>
        <v>OK</v>
      </c>
    </row>
    <row r="108" customFormat="false" ht="15" hidden="false" customHeight="false" outlineLevel="0" collapsed="false">
      <c r="A108" s="7" t="n">
        <v>75</v>
      </c>
      <c r="B108" s="7" t="s">
        <v>251</v>
      </c>
      <c r="C108" s="29" t="n">
        <v>0.129</v>
      </c>
      <c r="D108" s="30" t="n">
        <f aca="false">WACC!B54</f>
        <v>0.1286</v>
      </c>
      <c r="E108" s="31" t="n">
        <f aca="false">D108-C108</f>
        <v>-0.000399999999999984</v>
      </c>
      <c r="F108" s="26" t="n">
        <v>0.001</v>
      </c>
      <c r="G108" s="5" t="str">
        <f aca="false">IF(ABS(E108)&lt;=F108,"OK","REVIEW")</f>
        <v>OK</v>
      </c>
    </row>
    <row r="109" customFormat="false" ht="15" hidden="false" customHeight="false" outlineLevel="0" collapsed="false">
      <c r="A109" s="7" t="n">
        <v>76</v>
      </c>
      <c r="B109" s="7" t="s">
        <v>252</v>
      </c>
      <c r="C109" s="23" t="n">
        <v>1791</v>
      </c>
      <c r="D109" s="24" t="n">
        <f aca="false">DCF!B24</f>
        <v>1792.41611110698</v>
      </c>
      <c r="E109" s="25" t="n">
        <f aca="false">D109-C109</f>
        <v>1.41611110697932</v>
      </c>
      <c r="F109" s="26" t="n">
        <v>5</v>
      </c>
      <c r="G109" s="5" t="str">
        <f aca="false">IF(ABS(E109)&lt;=F109,"OK","REVIEW")</f>
        <v>OK</v>
      </c>
    </row>
    <row r="110" customFormat="false" ht="15" hidden="false" customHeight="false" outlineLevel="0" collapsed="false">
      <c r="A110" s="7" t="n">
        <v>77</v>
      </c>
      <c r="B110" s="7" t="s">
        <v>253</v>
      </c>
      <c r="C110" s="23" t="n">
        <v>18809</v>
      </c>
      <c r="D110" s="24" t="n">
        <f aca="false">DCF!B20</f>
        <v>18946.2846473025</v>
      </c>
      <c r="E110" s="25" t="n">
        <f aca="false">D110-C110</f>
        <v>137.284647302517</v>
      </c>
      <c r="F110" s="26" t="n">
        <v>200</v>
      </c>
      <c r="G110" s="5" t="str">
        <f aca="false">IF(ABS(E110)&lt;=F110,"OK","REVIEW")</f>
        <v>OK</v>
      </c>
    </row>
    <row r="111" customFormat="false" ht="15" hidden="false" customHeight="false" outlineLevel="0" collapsed="false">
      <c r="A111" s="7" t="n">
        <v>78</v>
      </c>
      <c r="B111" s="7" t="s">
        <v>254</v>
      </c>
      <c r="C111" s="23" t="n">
        <v>10567</v>
      </c>
      <c r="D111" s="24" t="n">
        <f aca="false">DCF!B21</f>
        <v>10655.7545879643</v>
      </c>
      <c r="E111" s="25" t="n">
        <f aca="false">D111-C111</f>
        <v>88.7545879643258</v>
      </c>
      <c r="F111" s="26" t="n">
        <v>130</v>
      </c>
      <c r="G111" s="5" t="str">
        <f aca="false">IF(ABS(E111)&lt;=F111,"OK","REVIEW")</f>
        <v>OK</v>
      </c>
    </row>
    <row r="112" customFormat="false" ht="15" hidden="false" customHeight="false" outlineLevel="0" collapsed="false">
      <c r="A112" s="7" t="n">
        <v>79</v>
      </c>
      <c r="B112" s="7" t="s">
        <v>255</v>
      </c>
      <c r="C112" s="23" t="n">
        <v>12358</v>
      </c>
      <c r="D112" s="24" t="n">
        <f aca="false">DCF!B26</f>
        <v>12448.1706990713</v>
      </c>
      <c r="E112" s="25" t="n">
        <f aca="false">D112-C112</f>
        <v>90.1706990713046</v>
      </c>
      <c r="F112" s="26" t="n">
        <v>135</v>
      </c>
      <c r="G112" s="5" t="str">
        <f aca="false">IF(ABS(E112)&lt;=F112,"OK","REVIEW")</f>
        <v>OK</v>
      </c>
    </row>
    <row r="113" customFormat="false" ht="15" hidden="false" customHeight="false" outlineLevel="0" collapsed="false">
      <c r="A113" s="7" t="n">
        <v>80</v>
      </c>
      <c r="B113" s="7" t="s">
        <v>256</v>
      </c>
      <c r="C113" s="23" t="n">
        <v>12158</v>
      </c>
      <c r="D113" s="24" t="n">
        <f aca="false">DCF!B28</f>
        <v>12247.1706990713</v>
      </c>
      <c r="E113" s="25" t="n">
        <f aca="false">D113-C113</f>
        <v>89.1706990713046</v>
      </c>
      <c r="F113" s="26" t="n">
        <v>135</v>
      </c>
      <c r="G113" s="5" t="str">
        <f aca="false">IF(ABS(E113)&lt;=F113,"OK","REVIEW")</f>
        <v>OK</v>
      </c>
    </row>
    <row r="114" customFormat="false" ht="15" hidden="false" customHeight="false" outlineLevel="0" collapsed="false">
      <c r="A114" s="7" t="n">
        <v>81</v>
      </c>
      <c r="B114" s="7" t="s">
        <v>257</v>
      </c>
      <c r="C114" s="27" t="n">
        <v>367.54</v>
      </c>
      <c r="D114" s="28" t="n">
        <f aca="false">DCF!B30</f>
        <v>370.228860310499</v>
      </c>
      <c r="E114" s="25" t="n">
        <f aca="false">D114-C114</f>
        <v>2.68886031049891</v>
      </c>
      <c r="F114" s="26" t="n">
        <v>4</v>
      </c>
      <c r="G114" s="5" t="str">
        <f aca="false">IF(ABS(E114)&lt;=F114,"OK","REVIEW")</f>
        <v>OK</v>
      </c>
    </row>
    <row r="115" customFormat="false" ht="15" hidden="false" customHeight="false" outlineLevel="0" collapsed="false">
      <c r="A115" s="7" t="n">
        <v>82</v>
      </c>
      <c r="B115" s="7" t="s">
        <v>258</v>
      </c>
      <c r="C115" s="27" t="n">
        <v>1033.16</v>
      </c>
      <c r="D115" s="28" t="n">
        <f aca="false">Relative_Valuation!J24</f>
        <v>1033.16203143894</v>
      </c>
      <c r="E115" s="25" t="n">
        <f aca="false">D115-C115</f>
        <v>0.00203143893577362</v>
      </c>
      <c r="F115" s="26" t="n">
        <v>0.5</v>
      </c>
      <c r="G115" s="5" t="str">
        <f aca="false">IF(ABS(E115)&lt;=F115,"OK","REVIEW")</f>
        <v>OK</v>
      </c>
    </row>
    <row r="116" customFormat="false" ht="15" hidden="false" customHeight="false" outlineLevel="0" collapsed="false">
      <c r="A116" s="7" t="n">
        <v>83</v>
      </c>
      <c r="B116" s="7" t="s">
        <v>259</v>
      </c>
      <c r="C116" s="27" t="n">
        <v>540.97</v>
      </c>
      <c r="D116" s="28" t="n">
        <f aca="false">Relative_Valuation!K24</f>
        <v>540.936787789969</v>
      </c>
      <c r="E116" s="25" t="n">
        <f aca="false">D116-C116</f>
        <v>-0.0332122100312517</v>
      </c>
      <c r="F116" s="26" t="n">
        <v>0.5</v>
      </c>
      <c r="G116" s="5" t="str">
        <f aca="false">IF(ABS(E116)&lt;=F116,"OK","REVIEW")</f>
        <v>OK</v>
      </c>
    </row>
    <row r="117" customFormat="false" ht="15" hidden="false" customHeight="false" outlineLevel="0" collapsed="false">
      <c r="A117" s="7" t="n">
        <v>84</v>
      </c>
      <c r="B117" s="7" t="s">
        <v>260</v>
      </c>
      <c r="C117" s="27" t="n">
        <v>774.11</v>
      </c>
      <c r="D117" s="28" t="n">
        <f aca="false">Relative_Valuation!L24</f>
        <v>774.108626152229</v>
      </c>
      <c r="E117" s="25" t="n">
        <f aca="false">D117-C117</f>
        <v>-0.00137384777110583</v>
      </c>
      <c r="F117" s="26" t="n">
        <v>0.5</v>
      </c>
      <c r="G117" s="5" t="str">
        <f aca="false">IF(ABS(E117)&lt;=F117,"OK","REVIEW")</f>
        <v>OK</v>
      </c>
    </row>
    <row r="118" customFormat="false" ht="15" hidden="false" customHeight="false" outlineLevel="0" collapsed="false">
      <c r="A118" s="7" t="n">
        <v>85</v>
      </c>
      <c r="B118" s="7" t="s">
        <v>261</v>
      </c>
      <c r="C118" s="27" t="n">
        <v>686.03</v>
      </c>
      <c r="D118" s="28" t="n">
        <f aca="false">Relative_Valuation!L26</f>
        <v>686.016204192214</v>
      </c>
      <c r="E118" s="25" t="n">
        <f aca="false">D118-C118</f>
        <v>-0.0137958077857547</v>
      </c>
      <c r="F118" s="26" t="n">
        <v>0.5</v>
      </c>
      <c r="G118" s="5" t="str">
        <f aca="false">IF(ABS(E118)&lt;=F118,"OK","REVIEW")</f>
        <v>OK</v>
      </c>
    </row>
    <row r="119" customFormat="false" ht="15" hidden="false" customHeight="false" outlineLevel="0" collapsed="false">
      <c r="A119" s="7" t="n">
        <v>86</v>
      </c>
      <c r="B119" s="7" t="s">
        <v>262</v>
      </c>
      <c r="C119" s="32" t="n">
        <v>40.6</v>
      </c>
      <c r="D119" s="33" t="n">
        <f aca="false">Peer_Multiples!B17</f>
        <v>40.6322881575538</v>
      </c>
      <c r="E119" s="25" t="n">
        <f aca="false">D119-C119</f>
        <v>0.032288157553765</v>
      </c>
      <c r="F119" s="26" t="n">
        <v>0.05</v>
      </c>
      <c r="G119" s="5" t="str">
        <f aca="false">IF(ABS(E119)&lt;=F119,"OK","REVIEW")</f>
        <v>OK</v>
      </c>
    </row>
    <row r="120" customFormat="false" ht="15" hidden="false" customHeight="false" outlineLevel="0" collapsed="false">
      <c r="A120" s="7" t="n">
        <v>87</v>
      </c>
      <c r="B120" s="7" t="s">
        <v>263</v>
      </c>
      <c r="C120" s="32" t="n">
        <v>13.8</v>
      </c>
      <c r="D120" s="33" t="n">
        <f aca="false">Peer_Multiples!B25</f>
        <v>13.7730965514653</v>
      </c>
      <c r="E120" s="25" t="n">
        <f aca="false">D120-C120</f>
        <v>-0.0269034485346538</v>
      </c>
      <c r="F120" s="26" t="n">
        <v>0.05</v>
      </c>
      <c r="G120" s="5" t="str">
        <f aca="false">IF(ABS(E120)&lt;=F120,"OK","REVIEW")</f>
        <v>OK</v>
      </c>
    </row>
    <row r="121" customFormat="false" ht="15" hidden="false" customHeight="false" outlineLevel="0" collapsed="false">
      <c r="A121" s="7" t="n">
        <v>88</v>
      </c>
      <c r="B121" s="7" t="s">
        <v>264</v>
      </c>
      <c r="C121" s="23" t="n">
        <v>34059</v>
      </c>
      <c r="D121" s="24" t="n">
        <f aca="false">SoTP!I12</f>
        <v>34060.1293759794</v>
      </c>
      <c r="E121" s="25" t="n">
        <f aca="false">D121-C121</f>
        <v>1.12937597938435</v>
      </c>
      <c r="F121" s="26" t="n">
        <v>5</v>
      </c>
      <c r="G121" s="5" t="str">
        <f aca="false">IF(ABS(E121)&lt;=F121,"OK","REVIEW")</f>
        <v>OK</v>
      </c>
    </row>
    <row r="122" customFormat="false" ht="15" hidden="false" customHeight="false" outlineLevel="0" collapsed="false">
      <c r="A122" s="7" t="n">
        <v>89</v>
      </c>
      <c r="B122" s="7" t="s">
        <v>265</v>
      </c>
      <c r="C122" s="23" t="n">
        <v>3144</v>
      </c>
      <c r="D122" s="24" t="n">
        <f aca="false">SoTP!I13</f>
        <v>3143.52012885258</v>
      </c>
      <c r="E122" s="25" t="n">
        <f aca="false">D122-C122</f>
        <v>-0.479871147417725</v>
      </c>
      <c r="F122" s="26" t="n">
        <v>5</v>
      </c>
      <c r="G122" s="5" t="str">
        <f aca="false">IF(ABS(E122)&lt;=F122,"OK","REVIEW")</f>
        <v>OK</v>
      </c>
    </row>
    <row r="123" customFormat="false" ht="15" hidden="false" customHeight="false" outlineLevel="0" collapsed="false">
      <c r="A123" s="7" t="n">
        <v>90</v>
      </c>
      <c r="B123" s="7" t="s">
        <v>266</v>
      </c>
      <c r="C123" s="23" t="n">
        <v>3724</v>
      </c>
      <c r="D123" s="24" t="n">
        <f aca="false">SoTP!I14</f>
        <v>3720.80110746632</v>
      </c>
      <c r="E123" s="25" t="n">
        <f aca="false">D123-C123</f>
        <v>-3.19889253368183</v>
      </c>
      <c r="F123" s="26" t="n">
        <v>5</v>
      </c>
      <c r="G123" s="5" t="str">
        <f aca="false">IF(ABS(E123)&lt;=F123,"OK","REVIEW")</f>
        <v>OK</v>
      </c>
    </row>
    <row r="124" customFormat="false" ht="15" hidden="false" customHeight="false" outlineLevel="0" collapsed="false">
      <c r="A124" s="7" t="n">
        <v>91</v>
      </c>
      <c r="B124" s="7" t="s">
        <v>267</v>
      </c>
      <c r="C124" s="23" t="n">
        <v>40926</v>
      </c>
      <c r="D124" s="24" t="n">
        <f aca="false">SoTP!I16</f>
        <v>40924.4506122983</v>
      </c>
      <c r="E124" s="25" t="n">
        <f aca="false">D124-C124</f>
        <v>-1.54938770172157</v>
      </c>
      <c r="F124" s="26" t="n">
        <v>5</v>
      </c>
      <c r="G124" s="5" t="str">
        <f aca="false">IF(ABS(E124)&lt;=F124,"OK","REVIEW")</f>
        <v>OK</v>
      </c>
    </row>
    <row r="125" customFormat="false" ht="15" hidden="false" customHeight="false" outlineLevel="0" collapsed="false">
      <c r="A125" s="7" t="n">
        <v>92</v>
      </c>
      <c r="B125" s="7" t="s">
        <v>268</v>
      </c>
      <c r="C125" s="23" t="n">
        <v>40845</v>
      </c>
      <c r="D125" s="24" t="n">
        <f aca="false">SoTP!B28</f>
        <v>40843.4506122983</v>
      </c>
      <c r="E125" s="25" t="n">
        <f aca="false">D125-C125</f>
        <v>-1.54938770172157</v>
      </c>
      <c r="F125" s="26" t="n">
        <v>5</v>
      </c>
      <c r="G125" s="5" t="str">
        <f aca="false">IF(ABS(E125)&lt;=F125,"OK","REVIEW")</f>
        <v>OK</v>
      </c>
    </row>
    <row r="126" customFormat="false" ht="15" hidden="false" customHeight="false" outlineLevel="0" collapsed="false">
      <c r="A126" s="7" t="n">
        <v>93</v>
      </c>
      <c r="B126" s="7" t="s">
        <v>269</v>
      </c>
      <c r="C126" s="27" t="n">
        <v>1234.74</v>
      </c>
      <c r="D126" s="28" t="n">
        <f aca="false">SoTP!B29</f>
        <v>1234.6871406378</v>
      </c>
      <c r="E126" s="25" t="n">
        <f aca="false">D126-C126</f>
        <v>-0.0528593622043445</v>
      </c>
      <c r="F126" s="26" t="n">
        <v>1</v>
      </c>
      <c r="G126" s="5" t="str">
        <f aca="false">IF(ABS(E126)&lt;=F126,"OK","REVIEW")</f>
        <v>OK</v>
      </c>
    </row>
    <row r="127" customFormat="false" ht="15" hidden="false" customHeight="false" outlineLevel="0" collapsed="false">
      <c r="A127" s="7" t="n">
        <v>94</v>
      </c>
      <c r="B127" s="7" t="s">
        <v>270</v>
      </c>
      <c r="C127" s="27" t="n">
        <v>848.6</v>
      </c>
      <c r="D127" s="28" t="n">
        <f aca="false">SoTP!B46</f>
        <v>848.571020952124</v>
      </c>
      <c r="E127" s="25" t="n">
        <f aca="false">D127-C127</f>
        <v>-0.0289790478758505</v>
      </c>
      <c r="F127" s="26" t="n">
        <v>1</v>
      </c>
      <c r="G127" s="5" t="str">
        <f aca="false">IF(ABS(E127)&lt;=F127,"OK","REVIEW")</f>
        <v>OK</v>
      </c>
    </row>
    <row r="128" customFormat="false" ht="15" hidden="false" customHeight="false" outlineLevel="0" collapsed="false">
      <c r="A128" s="7" t="n">
        <v>95</v>
      </c>
      <c r="B128" s="7" t="s">
        <v>271</v>
      </c>
      <c r="C128" s="27" t="n">
        <v>1456.6</v>
      </c>
      <c r="D128" s="28" t="n">
        <f aca="false">SoTP!D46</f>
        <v>1456.54566121567</v>
      </c>
      <c r="E128" s="25" t="n">
        <f aca="false">D128-C128</f>
        <v>-0.0543387843310939</v>
      </c>
      <c r="F128" s="26" t="n">
        <v>1</v>
      </c>
      <c r="G128" s="5" t="str">
        <f aca="false">IF(ABS(E128)&lt;=F128,"OK","REVIEW")</f>
        <v>OK</v>
      </c>
    </row>
    <row r="129" customFormat="false" ht="15" hidden="false" customHeight="false" outlineLevel="0" collapsed="false">
      <c r="A129" s="7" t="n">
        <v>96</v>
      </c>
      <c r="B129" s="7" t="s">
        <v>272</v>
      </c>
      <c r="C129" s="36" t="n">
        <v>838.6</v>
      </c>
      <c r="D129" s="37" t="n">
        <f aca="false">SoTP!B53</f>
        <v>838.562311720045</v>
      </c>
      <c r="E129" s="25" t="n">
        <f aca="false">D129-C129</f>
        <v>-0.0376882799554323</v>
      </c>
      <c r="F129" s="26" t="n">
        <v>0.5</v>
      </c>
      <c r="G129" s="5" t="str">
        <f aca="false">IF(ABS(E129)&lt;=F129,"OK","REVIEW")</f>
        <v>OK</v>
      </c>
    </row>
    <row r="130" customFormat="false" ht="15" hidden="false" customHeight="false" outlineLevel="0" collapsed="false">
      <c r="A130" s="7" t="n">
        <v>97</v>
      </c>
      <c r="B130" s="7" t="s">
        <v>273</v>
      </c>
      <c r="C130" s="36" t="n">
        <v>1671.2</v>
      </c>
      <c r="D130" s="37" t="n">
        <f aca="false">SoTP!D57</f>
        <v>1671.16787539899</v>
      </c>
      <c r="E130" s="25" t="n">
        <f aca="false">D130-C130</f>
        <v>-0.0321246010062168</v>
      </c>
      <c r="F130" s="26" t="n">
        <v>0.5</v>
      </c>
      <c r="G130" s="5" t="str">
        <f aca="false">IF(ABS(E130)&lt;=F130,"OK","REVIEW")</f>
        <v>OK</v>
      </c>
    </row>
    <row r="131" customFormat="false" ht="15" hidden="false" customHeight="false" outlineLevel="0" collapsed="false">
      <c r="B131" s="5" t="s">
        <v>274</v>
      </c>
      <c r="C131" s="22" t="n">
        <f aca="false">COUNTIF(G34:G130,"OK")</f>
        <v>97</v>
      </c>
      <c r="D131" s="22" t="n">
        <f aca="false">COUNTA(G34:G130)</f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6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34"/>
    <col collapsed="false" customWidth="true" hidden="false" outlineLevel="0" max="8" min="8" style="0" width="44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7" t="s">
        <v>275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18" t="s">
        <v>276</v>
      </c>
    </row>
    <row r="4" customFormat="false" ht="15" hidden="false" customHeight="false" outlineLevel="0" collapsed="false">
      <c r="A4" s="4" t="s">
        <v>277</v>
      </c>
      <c r="B4" s="2"/>
      <c r="C4" s="2"/>
      <c r="D4" s="2"/>
      <c r="E4" s="2"/>
      <c r="F4" s="2"/>
      <c r="G4" s="2"/>
      <c r="H4" s="2"/>
      <c r="I4" s="2"/>
    </row>
    <row r="5" customFormat="false" ht="35.05" hidden="false" customHeight="false" outlineLevel="0" collapsed="false">
      <c r="A5" s="19" t="s">
        <v>278</v>
      </c>
      <c r="B5" s="19"/>
      <c r="C5" s="19" t="s">
        <v>279</v>
      </c>
      <c r="D5" s="19" t="s">
        <v>280</v>
      </c>
      <c r="E5" s="19" t="s">
        <v>281</v>
      </c>
      <c r="F5" s="19" t="s">
        <v>282</v>
      </c>
    </row>
    <row r="6" customFormat="false" ht="15" hidden="false" customHeight="false" outlineLevel="0" collapsed="false">
      <c r="A6" s="5" t="s">
        <v>283</v>
      </c>
      <c r="C6" s="28" t="n">
        <f aca="false">DCF!B30</f>
        <v>370.228860310499</v>
      </c>
      <c r="D6" s="28" t="n">
        <f aca="false">DCF!D46</f>
        <v>317.748929991196</v>
      </c>
      <c r="E6" s="25" t="n">
        <f aca="false">D6-C6</f>
        <v>-52.4799303193034</v>
      </c>
      <c r="F6" s="7" t="s">
        <v>284</v>
      </c>
    </row>
    <row r="7" customFormat="false" ht="15" hidden="false" customHeight="false" outlineLevel="0" collapsed="false">
      <c r="A7" s="5" t="s">
        <v>285</v>
      </c>
      <c r="C7" s="28" t="n">
        <f aca="false">Relative_Valuation!L26</f>
        <v>686.016204192214</v>
      </c>
      <c r="D7" s="28" t="n">
        <f aca="false">Relative_Valuation!L41</f>
        <v>649.320568056537</v>
      </c>
      <c r="E7" s="25" t="n">
        <f aca="false">D7-C7</f>
        <v>-36.6956361356769</v>
      </c>
      <c r="F7" s="7" t="s">
        <v>286</v>
      </c>
    </row>
    <row r="8" customFormat="false" ht="15" hidden="false" customHeight="false" outlineLevel="0" collapsed="false">
      <c r="A8" s="5" t="s">
        <v>287</v>
      </c>
      <c r="C8" s="28" t="n">
        <f aca="false">SoTP!B29</f>
        <v>1234.6871406378</v>
      </c>
      <c r="D8" s="28" t="n">
        <f aca="false">SoTP!C29</f>
        <v>965.284118979061</v>
      </c>
      <c r="E8" s="25" t="n">
        <f aca="false">D8-C8</f>
        <v>-269.403021658735</v>
      </c>
      <c r="F8" s="7" t="s">
        <v>288</v>
      </c>
    </row>
    <row r="9" customFormat="false" ht="15" hidden="false" customHeight="false" outlineLevel="0" collapsed="false">
      <c r="A9" s="5" t="s">
        <v>289</v>
      </c>
      <c r="C9" s="28" t="n">
        <f aca="false">SoTP!B46</f>
        <v>848.571020952124</v>
      </c>
      <c r="D9" s="28" t="n">
        <f aca="false">SoTP!B48</f>
        <v>663.250000277213</v>
      </c>
      <c r="E9" s="25" t="n">
        <f aca="false">D9-C9</f>
        <v>-185.321020674911</v>
      </c>
      <c r="F9" s="7" t="s">
        <v>290</v>
      </c>
    </row>
    <row r="10" customFormat="false" ht="15" hidden="false" customHeight="false" outlineLevel="0" collapsed="false">
      <c r="A10" s="5" t="s">
        <v>291</v>
      </c>
      <c r="C10" s="28" t="n">
        <f aca="false">SoTP!D46</f>
        <v>1456.54566121567</v>
      </c>
      <c r="D10" s="28" t="n">
        <f aca="false">SoTP!D48</f>
        <v>1138.82994968352</v>
      </c>
      <c r="E10" s="25" t="n">
        <f aca="false">D10-C10</f>
        <v>-317.715711532145</v>
      </c>
      <c r="F10" s="7" t="s">
        <v>290</v>
      </c>
    </row>
    <row r="11" customFormat="false" ht="15" hidden="false" customHeight="false" outlineLevel="0" collapsed="false">
      <c r="A11" s="7" t="s">
        <v>292</v>
      </c>
      <c r="C11" s="28" t="n">
        <f aca="false">Assumptions!$C$8</f>
        <v>1033</v>
      </c>
    </row>
    <row r="12" customFormat="false" ht="15" hidden="false" customHeight="false" outlineLevel="0" collapsed="false">
      <c r="A12" s="18" t="s">
        <v>293</v>
      </c>
    </row>
    <row r="14" customFormat="false" ht="15" hidden="false" customHeight="false" outlineLevel="0" collapsed="false">
      <c r="A14" s="4" t="s">
        <v>294</v>
      </c>
      <c r="B14" s="2"/>
      <c r="C14" s="2"/>
      <c r="D14" s="2"/>
      <c r="E14" s="2"/>
      <c r="F14" s="2"/>
      <c r="G14" s="2"/>
      <c r="H14" s="2"/>
      <c r="I14" s="2"/>
    </row>
    <row r="15" customFormat="false" ht="30" hidden="false" customHeight="true" outlineLevel="0" collapsed="false">
      <c r="A15" s="19" t="s">
        <v>295</v>
      </c>
      <c r="B15" s="19" t="s">
        <v>296</v>
      </c>
      <c r="C15" s="19" t="s">
        <v>297</v>
      </c>
      <c r="D15" s="19" t="s">
        <v>298</v>
      </c>
      <c r="E15" s="19" t="s">
        <v>299</v>
      </c>
      <c r="F15" s="19" t="s">
        <v>300</v>
      </c>
      <c r="G15" s="19" t="s">
        <v>301</v>
      </c>
      <c r="H15" s="19" t="s">
        <v>302</v>
      </c>
      <c r="I15" s="19" t="s">
        <v>303</v>
      </c>
    </row>
    <row r="16" customFormat="false" ht="69.75" hidden="false" customHeight="true" outlineLevel="0" collapsed="false">
      <c r="A16" s="38" t="s">
        <v>150</v>
      </c>
      <c r="B16" s="14" t="s">
        <v>304</v>
      </c>
      <c r="C16" s="39" t="s">
        <v>305</v>
      </c>
      <c r="D16" s="14" t="s">
        <v>306</v>
      </c>
      <c r="E16" s="14" t="s">
        <v>307</v>
      </c>
      <c r="F16" s="40" t="n">
        <f aca="false">DCF!C49</f>
        <v>-13.4181571545427</v>
      </c>
      <c r="G16" s="14" t="s">
        <v>308</v>
      </c>
      <c r="H16" s="14" t="s">
        <v>309</v>
      </c>
      <c r="I16" s="14" t="s">
        <v>310</v>
      </c>
    </row>
    <row r="17" customFormat="false" ht="69.75" hidden="false" customHeight="true" outlineLevel="0" collapsed="false">
      <c r="A17" s="38" t="s">
        <v>311</v>
      </c>
      <c r="B17" s="14" t="s">
        <v>312</v>
      </c>
      <c r="C17" s="41" t="s">
        <v>313</v>
      </c>
      <c r="D17" s="14" t="s">
        <v>314</v>
      </c>
      <c r="E17" s="14" t="s">
        <v>315</v>
      </c>
      <c r="G17" s="14"/>
      <c r="H17" s="14" t="s">
        <v>316</v>
      </c>
      <c r="I17" s="14" t="s">
        <v>317</v>
      </c>
    </row>
    <row r="18" customFormat="false" ht="96" hidden="false" customHeight="true" outlineLevel="0" collapsed="false">
      <c r="A18" s="38" t="s">
        <v>147</v>
      </c>
      <c r="B18" s="14" t="s">
        <v>318</v>
      </c>
      <c r="C18" s="39" t="s">
        <v>305</v>
      </c>
      <c r="D18" s="14" t="s">
        <v>319</v>
      </c>
      <c r="E18" s="14" t="s">
        <v>320</v>
      </c>
      <c r="F18" s="40" t="n">
        <f aca="false">DCF!D46-DCF!C46</f>
        <v>-39.0617731647607</v>
      </c>
      <c r="G18" s="14" t="s">
        <v>321</v>
      </c>
      <c r="H18" s="14" t="s">
        <v>322</v>
      </c>
      <c r="I18" s="14" t="s">
        <v>323</v>
      </c>
    </row>
    <row r="19" customFormat="false" ht="96" hidden="false" customHeight="true" outlineLevel="0" collapsed="false">
      <c r="A19" s="38" t="s">
        <v>128</v>
      </c>
      <c r="B19" s="14" t="s">
        <v>324</v>
      </c>
      <c r="C19" s="42" t="s">
        <v>325</v>
      </c>
      <c r="D19" s="14" t="s">
        <v>326</v>
      </c>
      <c r="E19" s="14" t="s">
        <v>327</v>
      </c>
      <c r="F19" s="43" t="n">
        <f aca="false">Hist_CF!F38</f>
        <v>-40</v>
      </c>
      <c r="G19" s="14" t="s">
        <v>328</v>
      </c>
      <c r="H19" s="14" t="s">
        <v>329</v>
      </c>
      <c r="I19" s="14" t="s">
        <v>330</v>
      </c>
    </row>
    <row r="20" customFormat="false" ht="96" hidden="false" customHeight="true" outlineLevel="0" collapsed="false">
      <c r="A20" s="38" t="s">
        <v>142</v>
      </c>
      <c r="B20" s="14" t="s">
        <v>331</v>
      </c>
      <c r="C20" s="42" t="s">
        <v>325</v>
      </c>
      <c r="D20" s="14" t="s">
        <v>332</v>
      </c>
      <c r="E20" s="14" t="s">
        <v>333</v>
      </c>
      <c r="F20" s="43" t="n">
        <f aca="false">WC_Schedule!G17-WC_Schedule!G6*Assumptions!G31/365</f>
        <v>1905.19601424658</v>
      </c>
      <c r="G20" s="14" t="s">
        <v>334</v>
      </c>
      <c r="H20" s="14" t="s">
        <v>335</v>
      </c>
      <c r="I20" s="14" t="s">
        <v>336</v>
      </c>
    </row>
    <row r="21" customFormat="false" ht="96" hidden="false" customHeight="true" outlineLevel="0" collapsed="false">
      <c r="A21" s="38" t="s">
        <v>156</v>
      </c>
      <c r="B21" s="14" t="s">
        <v>337</v>
      </c>
      <c r="C21" s="39" t="s">
        <v>305</v>
      </c>
      <c r="D21" s="14" t="s">
        <v>338</v>
      </c>
      <c r="E21" s="14" t="s">
        <v>339</v>
      </c>
      <c r="F21" s="40" t="n">
        <f aca="false">Relative_Valuation!L41-Relative_Valuation!L26</f>
        <v>-36.6956361356769</v>
      </c>
      <c r="G21" s="14" t="s">
        <v>340</v>
      </c>
      <c r="H21" s="14" t="s">
        <v>341</v>
      </c>
      <c r="I21" s="14" t="s">
        <v>342</v>
      </c>
    </row>
    <row r="22" customFormat="false" ht="96" hidden="false" customHeight="true" outlineLevel="0" collapsed="false">
      <c r="A22" s="38" t="s">
        <v>137</v>
      </c>
      <c r="B22" s="14" t="s">
        <v>343</v>
      </c>
      <c r="C22" s="42" t="s">
        <v>325</v>
      </c>
      <c r="D22" s="14" t="s">
        <v>344</v>
      </c>
      <c r="E22" s="14" t="s">
        <v>345</v>
      </c>
      <c r="F22" s="43" t="n">
        <f aca="false">Revenue_Build!F17</f>
        <v>447</v>
      </c>
      <c r="G22" s="14" t="s">
        <v>346</v>
      </c>
      <c r="H22" s="14" t="s">
        <v>347</v>
      </c>
      <c r="I22" s="14" t="s">
        <v>348</v>
      </c>
    </row>
    <row r="23" customFormat="false" ht="69.75" hidden="false" customHeight="true" outlineLevel="0" collapsed="false">
      <c r="A23" s="38" t="s">
        <v>134</v>
      </c>
      <c r="B23" s="14" t="s">
        <v>349</v>
      </c>
      <c r="C23" s="41" t="s">
        <v>313</v>
      </c>
      <c r="D23" s="14" t="s">
        <v>350</v>
      </c>
      <c r="E23" s="14" t="s">
        <v>351</v>
      </c>
      <c r="G23" s="14"/>
      <c r="H23" s="14" t="s">
        <v>352</v>
      </c>
      <c r="I23" s="14" t="s">
        <v>353</v>
      </c>
    </row>
    <row r="24" customFormat="false" ht="96" hidden="false" customHeight="true" outlineLevel="0" collapsed="false">
      <c r="A24" s="38" t="s">
        <v>167</v>
      </c>
      <c r="B24" s="14" t="s">
        <v>354</v>
      </c>
      <c r="C24" s="41" t="s">
        <v>313</v>
      </c>
      <c r="D24" s="14" t="s">
        <v>355</v>
      </c>
      <c r="E24" s="14" t="s">
        <v>356</v>
      </c>
      <c r="F24" s="43" t="n">
        <f aca="false">Debt_Schedule!F24</f>
        <v>11</v>
      </c>
      <c r="G24" s="14" t="s">
        <v>357</v>
      </c>
      <c r="H24" s="14" t="s">
        <v>358</v>
      </c>
      <c r="I24" s="14" t="s">
        <v>359</v>
      </c>
    </row>
    <row r="25" customFormat="false" ht="96" hidden="false" customHeight="true" outlineLevel="0" collapsed="false">
      <c r="A25" s="38" t="s">
        <v>170</v>
      </c>
      <c r="B25" s="14" t="s">
        <v>360</v>
      </c>
      <c r="C25" s="42" t="s">
        <v>325</v>
      </c>
      <c r="D25" s="14" t="s">
        <v>361</v>
      </c>
      <c r="E25" s="14" t="s">
        <v>362</v>
      </c>
      <c r="F25" s="43" t="n">
        <f aca="false">MAX(DCF!B27,Relative_Valuation!E6,SoTP!B25-SoTP!B24,Debt_Schedule!F26-Balance_Sheet!F39)-MIN(DCF!B27,Relative_Valuation!E6,SoTP!B25-SoTP!B24,Debt_Schedule!F26-Balance_Sheet!F39)</f>
        <v>26</v>
      </c>
      <c r="G25" s="14" t="s">
        <v>363</v>
      </c>
      <c r="H25" s="14" t="s">
        <v>364</v>
      </c>
      <c r="I25" s="14" t="s">
        <v>365</v>
      </c>
    </row>
    <row r="26" customFormat="false" ht="96" hidden="false" customHeight="true" outlineLevel="0" collapsed="false">
      <c r="A26" s="38" t="s">
        <v>366</v>
      </c>
      <c r="B26" s="14" t="s">
        <v>367</v>
      </c>
      <c r="C26" s="41" t="s">
        <v>313</v>
      </c>
      <c r="D26" s="14" t="s">
        <v>368</v>
      </c>
      <c r="E26" s="14" t="s">
        <v>369</v>
      </c>
      <c r="G26" s="14"/>
      <c r="H26" s="14" t="s">
        <v>370</v>
      </c>
      <c r="I26" s="14" t="s">
        <v>371</v>
      </c>
    </row>
    <row r="27" customFormat="false" ht="96" hidden="false" customHeight="true" outlineLevel="0" collapsed="false">
      <c r="A27" s="38" t="s">
        <v>372</v>
      </c>
      <c r="B27" s="14" t="s">
        <v>373</v>
      </c>
      <c r="C27" s="41" t="s">
        <v>313</v>
      </c>
      <c r="D27" s="14" t="s">
        <v>374</v>
      </c>
      <c r="E27" s="14" t="s">
        <v>375</v>
      </c>
      <c r="F27" s="43" t="n">
        <f aca="false">Income_Statement!G19-(AVERAGE(Debt_Schedule!F10,Debt_Schedule!G10)*Assumptions!G36+AVERAGE(Debt_Schedule!F15,Debt_Schedule!G15)*Assumptions!G37)</f>
        <v>27.7313050047124</v>
      </c>
      <c r="G27" s="14" t="s">
        <v>376</v>
      </c>
      <c r="H27" s="14" t="s">
        <v>377</v>
      </c>
      <c r="I27" s="14" t="s">
        <v>378</v>
      </c>
    </row>
    <row r="28" customFormat="false" ht="96" hidden="false" customHeight="true" outlineLevel="0" collapsed="false">
      <c r="A28" s="38" t="s">
        <v>379</v>
      </c>
      <c r="B28" s="14" t="s">
        <v>380</v>
      </c>
      <c r="C28" s="41" t="s">
        <v>313</v>
      </c>
      <c r="D28" s="14" t="s">
        <v>381</v>
      </c>
      <c r="E28" s="14" t="s">
        <v>382</v>
      </c>
      <c r="F28" s="43" t="n">
        <f aca="false">-Income_Statement!G21</f>
        <v>131</v>
      </c>
      <c r="G28" s="14" t="s">
        <v>383</v>
      </c>
      <c r="H28" s="14" t="s">
        <v>384</v>
      </c>
      <c r="I28" s="14" t="s">
        <v>385</v>
      </c>
    </row>
    <row r="29" customFormat="false" ht="96" hidden="false" customHeight="true" outlineLevel="0" collapsed="false">
      <c r="A29" s="38" t="s">
        <v>386</v>
      </c>
      <c r="B29" s="14" t="s">
        <v>387</v>
      </c>
      <c r="C29" s="42" t="s">
        <v>325</v>
      </c>
      <c r="D29" s="14" t="s">
        <v>388</v>
      </c>
      <c r="E29" s="14" t="s">
        <v>389</v>
      </c>
      <c r="F29" s="44" t="n">
        <f aca="false">DCF!B48</f>
        <v>0.856009677691783</v>
      </c>
      <c r="G29" s="14" t="s">
        <v>390</v>
      </c>
      <c r="H29" s="14" t="s">
        <v>391</v>
      </c>
      <c r="I29" s="14" t="s">
        <v>392</v>
      </c>
    </row>
    <row r="30" customFormat="false" ht="96" hidden="false" customHeight="true" outlineLevel="0" collapsed="false">
      <c r="A30" s="38" t="s">
        <v>393</v>
      </c>
      <c r="B30" s="14" t="s">
        <v>394</v>
      </c>
      <c r="C30" s="42" t="s">
        <v>325</v>
      </c>
      <c r="D30" s="14" t="s">
        <v>395</v>
      </c>
      <c r="E30" s="14" t="s">
        <v>396</v>
      </c>
      <c r="F30" s="40" t="n">
        <f aca="false">DCF!B50/DCF!B29</f>
        <v>78.1136638452237</v>
      </c>
      <c r="G30" s="14" t="s">
        <v>397</v>
      </c>
      <c r="H30" s="14" t="s">
        <v>398</v>
      </c>
      <c r="I30" s="14" t="s">
        <v>399</v>
      </c>
    </row>
    <row r="31" customFormat="false" ht="96" hidden="false" customHeight="true" outlineLevel="0" collapsed="false">
      <c r="A31" s="38" t="s">
        <v>400</v>
      </c>
      <c r="B31" s="14" t="s">
        <v>401</v>
      </c>
      <c r="C31" s="42" t="s">
        <v>325</v>
      </c>
      <c r="D31" s="14" t="s">
        <v>402</v>
      </c>
      <c r="E31" s="14" t="s">
        <v>403</v>
      </c>
      <c r="F31" s="40" t="n">
        <f aca="false">Market_Data!C7-Relative_Valuation!B8</f>
        <v>20.5500000000002</v>
      </c>
      <c r="G31" s="14" t="s">
        <v>404</v>
      </c>
      <c r="H31" s="14" t="s">
        <v>405</v>
      </c>
      <c r="I31" s="14" t="s">
        <v>406</v>
      </c>
    </row>
    <row r="32" customFormat="false" ht="69.75" hidden="false" customHeight="true" outlineLevel="0" collapsed="false">
      <c r="A32" s="38" t="s">
        <v>407</v>
      </c>
      <c r="B32" s="14" t="s">
        <v>408</v>
      </c>
      <c r="C32" s="41" t="s">
        <v>313</v>
      </c>
      <c r="D32" s="14" t="s">
        <v>409</v>
      </c>
      <c r="E32" s="14" t="s">
        <v>410</v>
      </c>
      <c r="F32" s="44" t="n">
        <f aca="false">Assumptions!G25-SoTP!B6</f>
        <v>0.05</v>
      </c>
      <c r="G32" s="14" t="s">
        <v>411</v>
      </c>
      <c r="H32" s="14" t="s">
        <v>412</v>
      </c>
      <c r="I32" s="14" t="s">
        <v>413</v>
      </c>
    </row>
    <row r="33" customFormat="false" ht="96" hidden="false" customHeight="true" outlineLevel="0" collapsed="false">
      <c r="A33" s="38" t="s">
        <v>161</v>
      </c>
      <c r="B33" s="14" t="s">
        <v>414</v>
      </c>
      <c r="C33" s="39" t="s">
        <v>305</v>
      </c>
      <c r="D33" s="14" t="s">
        <v>415</v>
      </c>
      <c r="E33" s="14" t="s">
        <v>416</v>
      </c>
      <c r="F33" s="45" t="n">
        <f aca="false">SoTP!E17</f>
        <v>174.838087695221</v>
      </c>
      <c r="G33" s="14" t="s">
        <v>417</v>
      </c>
      <c r="H33" s="14" t="s">
        <v>418</v>
      </c>
      <c r="I33" s="14" t="s">
        <v>419</v>
      </c>
    </row>
    <row r="34" customFormat="false" ht="69.75" hidden="false" customHeight="true" outlineLevel="0" collapsed="false">
      <c r="A34" s="38" t="s">
        <v>420</v>
      </c>
      <c r="B34" s="14" t="s">
        <v>421</v>
      </c>
      <c r="C34" s="41" t="s">
        <v>313</v>
      </c>
      <c r="D34" s="14" t="s">
        <v>422</v>
      </c>
      <c r="E34" s="14" t="s">
        <v>423</v>
      </c>
      <c r="F34" s="43" t="n">
        <f aca="false">SoTP!B25-(423+544+15)</f>
        <v>10</v>
      </c>
      <c r="G34" s="14" t="s">
        <v>424</v>
      </c>
      <c r="H34" s="14" t="s">
        <v>425</v>
      </c>
      <c r="I34" s="14" t="s">
        <v>426</v>
      </c>
    </row>
    <row r="35" customFormat="false" ht="96" hidden="false" customHeight="true" outlineLevel="0" collapsed="false">
      <c r="A35" s="38" t="s">
        <v>164</v>
      </c>
      <c r="B35" s="14" t="s">
        <v>427</v>
      </c>
      <c r="C35" s="39" t="s">
        <v>305</v>
      </c>
      <c r="D35" s="14" t="s">
        <v>428</v>
      </c>
      <c r="E35" s="14" t="s">
        <v>429</v>
      </c>
      <c r="F35" s="40" t="n">
        <f aca="false">SoTP!C29-SoTP!B29</f>
        <v>-269.403021658735</v>
      </c>
      <c r="G35" s="14" t="s">
        <v>430</v>
      </c>
      <c r="H35" s="14" t="s">
        <v>431</v>
      </c>
      <c r="I35" s="14" t="s">
        <v>432</v>
      </c>
    </row>
    <row r="36" customFormat="false" ht="69.75" hidden="false" customHeight="true" outlineLevel="0" collapsed="false">
      <c r="A36" s="38" t="s">
        <v>433</v>
      </c>
      <c r="B36" s="14" t="s">
        <v>434</v>
      </c>
      <c r="C36" s="41" t="s">
        <v>313</v>
      </c>
      <c r="D36" s="14" t="s">
        <v>435</v>
      </c>
      <c r="E36" s="14" t="s">
        <v>436</v>
      </c>
      <c r="G36" s="14"/>
      <c r="H36" s="14" t="s">
        <v>437</v>
      </c>
      <c r="I36" s="14" t="s">
        <v>438</v>
      </c>
    </row>
    <row r="37" customFormat="false" ht="96" hidden="false" customHeight="true" outlineLevel="0" collapsed="false">
      <c r="A37" s="38" t="s">
        <v>122</v>
      </c>
      <c r="B37" s="14" t="s">
        <v>439</v>
      </c>
      <c r="C37" s="41" t="s">
        <v>313</v>
      </c>
      <c r="D37" s="14" t="s">
        <v>440</v>
      </c>
      <c r="E37" s="14" t="s">
        <v>441</v>
      </c>
      <c r="F37" s="43" t="n">
        <f aca="false">SUMPRODUCT(ABS(Hist_BS!C44:F44))</f>
        <v>1</v>
      </c>
      <c r="G37" s="14" t="s">
        <v>442</v>
      </c>
      <c r="H37" s="14" t="s">
        <v>443</v>
      </c>
      <c r="I37" s="14" t="s">
        <v>444</v>
      </c>
    </row>
    <row r="38" customFormat="false" ht="69.75" hidden="false" customHeight="true" outlineLevel="0" collapsed="false">
      <c r="A38" s="38" t="s">
        <v>445</v>
      </c>
      <c r="B38" s="14" t="s">
        <v>446</v>
      </c>
      <c r="C38" s="41" t="s">
        <v>313</v>
      </c>
      <c r="D38" s="14" t="s">
        <v>447</v>
      </c>
      <c r="E38" s="14" t="s">
        <v>448</v>
      </c>
      <c r="G38" s="14"/>
      <c r="H38" s="14" t="s">
        <v>449</v>
      </c>
      <c r="I38" s="14" t="s">
        <v>450</v>
      </c>
    </row>
    <row r="39" customFormat="false" ht="96" hidden="false" customHeight="true" outlineLevel="0" collapsed="false">
      <c r="A39" s="38" t="s">
        <v>451</v>
      </c>
      <c r="B39" s="14" t="s">
        <v>452</v>
      </c>
      <c r="C39" s="42" t="s">
        <v>325</v>
      </c>
      <c r="D39" s="14" t="s">
        <v>453</v>
      </c>
      <c r="E39" s="14" t="s">
        <v>454</v>
      </c>
      <c r="G39" s="14"/>
      <c r="H39" s="14" t="s">
        <v>455</v>
      </c>
      <c r="I39" s="14" t="s">
        <v>456</v>
      </c>
    </row>
    <row r="40" customFormat="false" ht="69.75" hidden="false" customHeight="true" outlineLevel="0" collapsed="false">
      <c r="A40" s="38" t="s">
        <v>457</v>
      </c>
      <c r="B40" s="14" t="s">
        <v>458</v>
      </c>
      <c r="C40" s="41" t="s">
        <v>313</v>
      </c>
      <c r="D40" s="14" t="s">
        <v>459</v>
      </c>
      <c r="E40" s="14" t="s">
        <v>460</v>
      </c>
      <c r="F40" s="43" t="n">
        <f aca="false">-Hist_CF!F27-Equity_Schedule!G12</f>
        <v>99.68</v>
      </c>
      <c r="G40" s="14" t="s">
        <v>461</v>
      </c>
      <c r="H40" s="14" t="s">
        <v>462</v>
      </c>
      <c r="I40" s="14" t="s">
        <v>463</v>
      </c>
    </row>
    <row r="41" customFormat="false" ht="96" hidden="false" customHeight="true" outlineLevel="0" collapsed="false">
      <c r="A41" s="38" t="s">
        <v>464</v>
      </c>
      <c r="B41" s="14" t="s">
        <v>465</v>
      </c>
      <c r="C41" s="41" t="s">
        <v>313</v>
      </c>
      <c r="D41" s="14" t="s">
        <v>466</v>
      </c>
      <c r="E41" s="14" t="s">
        <v>467</v>
      </c>
      <c r="G41" s="14"/>
      <c r="H41" s="14" t="s">
        <v>468</v>
      </c>
      <c r="I41" s="14" t="s">
        <v>469</v>
      </c>
    </row>
    <row r="42" customFormat="false" ht="96" hidden="false" customHeight="true" outlineLevel="0" collapsed="false">
      <c r="A42" s="38" t="s">
        <v>470</v>
      </c>
      <c r="B42" s="14" t="s">
        <v>471</v>
      </c>
      <c r="C42" s="41" t="s">
        <v>313</v>
      </c>
      <c r="D42" s="14" t="s">
        <v>472</v>
      </c>
      <c r="E42" s="14"/>
      <c r="F42" s="46" t="n">
        <f aca="false">WACC!B44-0.137</f>
        <v>-0.000571312138357316</v>
      </c>
      <c r="G42" s="14" t="s">
        <v>473</v>
      </c>
      <c r="H42" s="14" t="s">
        <v>474</v>
      </c>
      <c r="I42" s="14" t="s">
        <v>475</v>
      </c>
    </row>
    <row r="43" customFormat="false" ht="96" hidden="false" customHeight="true" outlineLevel="0" collapsed="false">
      <c r="A43" s="38" t="s">
        <v>476</v>
      </c>
      <c r="B43" s="14" t="s">
        <v>477</v>
      </c>
      <c r="C43" s="41" t="s">
        <v>313</v>
      </c>
      <c r="D43" s="14" t="s">
        <v>478</v>
      </c>
      <c r="E43" s="14"/>
      <c r="G43" s="14"/>
      <c r="H43" s="14" t="s">
        <v>479</v>
      </c>
      <c r="I43" s="14" t="s">
        <v>480</v>
      </c>
    </row>
    <row r="45" customFormat="false" ht="15" hidden="false" customHeight="false" outlineLevel="0" collapsed="false">
      <c r="A45" s="5" t="s">
        <v>481</v>
      </c>
    </row>
    <row r="46" customFormat="false" ht="15" hidden="false" customHeight="false" outlineLevel="0" collapsed="false">
      <c r="B46" s="7" t="s">
        <v>305</v>
      </c>
      <c r="C46" s="47" t="n">
        <f aca="false">COUNTIF($C$16:$C$43,"High")</f>
        <v>5</v>
      </c>
    </row>
    <row r="47" customFormat="false" ht="15" hidden="false" customHeight="false" outlineLevel="0" collapsed="false">
      <c r="B47" s="7" t="s">
        <v>325</v>
      </c>
      <c r="C47" s="47" t="n">
        <f aca="false">COUNTIF($C$16:$C$43,"Medium")</f>
        <v>8</v>
      </c>
    </row>
    <row r="48" customFormat="false" ht="15" hidden="false" customHeight="false" outlineLevel="0" collapsed="false">
      <c r="B48" s="7" t="s">
        <v>313</v>
      </c>
      <c r="C48" s="47" t="n">
        <f aca="false">COUNTIF($C$16:$C$43,"Low")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1" min="3" style="0" width="11.5"/>
  </cols>
  <sheetData>
    <row r="1" customFormat="false" ht="17.35" hidden="false" customHeight="false" outlineLevel="0" collapsed="false">
      <c r="A1" s="17" t="s">
        <v>482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18" t="s">
        <v>483</v>
      </c>
    </row>
    <row r="4" customFormat="false" ht="15" hidden="false" customHeight="false" outlineLevel="0" collapsed="false">
      <c r="C4" s="48" t="s">
        <v>484</v>
      </c>
    </row>
    <row r="5" customFormat="false" ht="15" hidden="false" customHeight="false" outlineLevel="0" collapsed="false">
      <c r="A5" s="49" t="s">
        <v>485</v>
      </c>
      <c r="B5" s="49" t="s">
        <v>486</v>
      </c>
      <c r="C5" s="50" t="s">
        <v>487</v>
      </c>
      <c r="D5" s="50" t="s">
        <v>488</v>
      </c>
      <c r="E5" s="50" t="s">
        <v>489</v>
      </c>
      <c r="F5" s="50" t="s">
        <v>490</v>
      </c>
    </row>
    <row r="6" customFormat="false" ht="15" hidden="false" customHeight="false" outlineLevel="0" collapsed="false">
      <c r="A6" s="51" t="s">
        <v>491</v>
      </c>
      <c r="B6" s="52"/>
      <c r="C6" s="52"/>
      <c r="D6" s="52"/>
      <c r="E6" s="52"/>
      <c r="F6" s="52"/>
    </row>
    <row r="7" customFormat="false" ht="15" hidden="false" customHeight="false" outlineLevel="0" collapsed="false">
      <c r="A7" s="53" t="s">
        <v>492</v>
      </c>
      <c r="B7" s="54" t="s">
        <v>493</v>
      </c>
      <c r="C7" s="23" t="n">
        <v>6475</v>
      </c>
      <c r="D7" s="23" t="n">
        <v>8160</v>
      </c>
      <c r="E7" s="23" t="n">
        <v>10614</v>
      </c>
      <c r="F7" s="23" t="n">
        <v>9501</v>
      </c>
    </row>
    <row r="8" customFormat="false" ht="15" hidden="false" customHeight="false" outlineLevel="0" collapsed="false">
      <c r="A8" s="53" t="s">
        <v>494</v>
      </c>
      <c r="B8" s="54" t="s">
        <v>493</v>
      </c>
      <c r="C8" s="23" t="n">
        <v>2403</v>
      </c>
      <c r="D8" s="23" t="n">
        <v>3683</v>
      </c>
      <c r="E8" s="23" t="n">
        <v>4157</v>
      </c>
      <c r="F8" s="23" t="n">
        <v>4053</v>
      </c>
    </row>
    <row r="9" customFormat="false" ht="15" hidden="false" customHeight="false" outlineLevel="0" collapsed="false">
      <c r="A9" s="53" t="s">
        <v>495</v>
      </c>
      <c r="B9" s="54" t="s">
        <v>493</v>
      </c>
      <c r="C9" s="23" t="n">
        <v>522</v>
      </c>
      <c r="D9" s="23" t="n">
        <v>588</v>
      </c>
      <c r="E9" s="23" t="n">
        <v>569</v>
      </c>
      <c r="F9" s="23" t="n">
        <v>599</v>
      </c>
    </row>
    <row r="10" customFormat="false" ht="15" hidden="false" customHeight="false" outlineLevel="0" collapsed="false">
      <c r="A10" s="53" t="s">
        <v>496</v>
      </c>
      <c r="B10" s="54" t="s">
        <v>493</v>
      </c>
    </row>
    <row r="11" customFormat="false" ht="15" hidden="false" customHeight="false" outlineLevel="0" collapsed="false">
      <c r="A11" s="53" t="s">
        <v>497</v>
      </c>
      <c r="B11" s="54" t="s">
        <v>493</v>
      </c>
      <c r="C11" s="23" t="n">
        <v>99</v>
      </c>
      <c r="D11" s="23" t="n">
        <v>50</v>
      </c>
      <c r="E11" s="23" t="n">
        <v>73</v>
      </c>
      <c r="F11" s="23" t="n">
        <v>92</v>
      </c>
    </row>
    <row r="12" customFormat="false" ht="15" hidden="false" customHeight="false" outlineLevel="0" collapsed="false">
      <c r="A12" s="55" t="s">
        <v>498</v>
      </c>
      <c r="B12" s="54"/>
      <c r="C12" s="56" t="n">
        <f aca="false">SUM(C7:C11)</f>
        <v>9499</v>
      </c>
      <c r="D12" s="56" t="n">
        <f aca="false">SUM(D7:D11)</f>
        <v>12481</v>
      </c>
      <c r="E12" s="56" t="n">
        <f aca="false">SUM(E7:E11)</f>
        <v>15413</v>
      </c>
      <c r="F12" s="56" t="n">
        <f aca="false">SUM(F7:F11)</f>
        <v>14245</v>
      </c>
    </row>
    <row r="13" customFormat="false" ht="15" hidden="false" customHeight="false" outlineLevel="0" collapsed="false">
      <c r="A13" s="51" t="s">
        <v>499</v>
      </c>
      <c r="B13" s="52"/>
      <c r="C13" s="52"/>
      <c r="D13" s="52"/>
      <c r="E13" s="52"/>
      <c r="F13" s="52"/>
    </row>
    <row r="14" customFormat="false" ht="15" hidden="false" customHeight="false" outlineLevel="0" collapsed="false">
      <c r="A14" s="53" t="s">
        <v>500</v>
      </c>
      <c r="B14" s="54" t="s">
        <v>493</v>
      </c>
      <c r="C14" s="23" t="n">
        <v>4808</v>
      </c>
      <c r="D14" s="23" t="n">
        <v>6778</v>
      </c>
      <c r="E14" s="23" t="n">
        <v>8126</v>
      </c>
      <c r="F14" s="23" t="n">
        <v>8256</v>
      </c>
    </row>
    <row r="15" customFormat="false" ht="15" hidden="false" customHeight="false" outlineLevel="0" collapsed="false">
      <c r="A15" s="53" t="s">
        <v>501</v>
      </c>
      <c r="B15" s="54" t="s">
        <v>493</v>
      </c>
      <c r="C15" s="23" t="n">
        <v>2296</v>
      </c>
      <c r="D15" s="23" t="n">
        <v>3427</v>
      </c>
      <c r="E15" s="23" t="n">
        <v>4017</v>
      </c>
      <c r="F15" s="23" t="n">
        <v>3083</v>
      </c>
    </row>
    <row r="16" customFormat="false" ht="15" hidden="false" customHeight="false" outlineLevel="0" collapsed="false">
      <c r="A16" s="53" t="s">
        <v>502</v>
      </c>
      <c r="B16" s="54" t="s">
        <v>493</v>
      </c>
      <c r="C16" s="23" t="n">
        <v>274</v>
      </c>
      <c r="D16" s="23" t="n">
        <v>-391</v>
      </c>
      <c r="E16" s="23" t="n">
        <v>-183</v>
      </c>
      <c r="F16" s="23" t="n">
        <v>-270</v>
      </c>
    </row>
    <row r="17" customFormat="false" ht="15" hidden="false" customHeight="false" outlineLevel="0" collapsed="false">
      <c r="A17" s="53" t="s">
        <v>503</v>
      </c>
      <c r="B17" s="54" t="s">
        <v>493</v>
      </c>
      <c r="C17" s="23" t="n">
        <v>667</v>
      </c>
      <c r="D17" s="23" t="n">
        <v>779</v>
      </c>
      <c r="E17" s="23" t="n">
        <v>890</v>
      </c>
      <c r="F17" s="23" t="n">
        <v>939</v>
      </c>
    </row>
    <row r="18" customFormat="false" ht="15" hidden="false" customHeight="false" outlineLevel="0" collapsed="false">
      <c r="A18" s="53" t="s">
        <v>504</v>
      </c>
      <c r="B18" s="54" t="s">
        <v>493</v>
      </c>
    </row>
    <row r="19" customFormat="false" ht="15" hidden="false" customHeight="false" outlineLevel="0" collapsed="false">
      <c r="A19" s="53" t="s">
        <v>505</v>
      </c>
      <c r="B19" s="54" t="s">
        <v>493</v>
      </c>
      <c r="C19" s="23" t="n">
        <v>881</v>
      </c>
      <c r="D19" s="23" t="n">
        <v>1414</v>
      </c>
      <c r="E19" s="23" t="n">
        <v>1446</v>
      </c>
      <c r="F19" s="23" t="n">
        <v>1589</v>
      </c>
    </row>
    <row r="20" customFormat="false" ht="15" hidden="false" customHeight="false" outlineLevel="0" collapsed="false">
      <c r="A20" s="55" t="s">
        <v>506</v>
      </c>
      <c r="B20" s="54"/>
      <c r="C20" s="56" t="n">
        <f aca="false">SUM(C14:C19)</f>
        <v>8926</v>
      </c>
      <c r="D20" s="56" t="n">
        <f aca="false">SUM(D14:D19)</f>
        <v>12007</v>
      </c>
      <c r="E20" s="56" t="n">
        <f aca="false">SUM(E14:E19)</f>
        <v>14296</v>
      </c>
      <c r="F20" s="56" t="n">
        <f aca="false">SUM(F14:F19)</f>
        <v>13597</v>
      </c>
    </row>
    <row r="22" customFormat="false" ht="15" hidden="false" customHeight="false" outlineLevel="0" collapsed="false">
      <c r="A22" s="55" t="s">
        <v>507</v>
      </c>
      <c r="B22" s="54"/>
      <c r="C22" s="56" t="n">
        <f aca="false">C12-C20</f>
        <v>573</v>
      </c>
      <c r="D22" s="56" t="n">
        <f aca="false">D12-D20</f>
        <v>474</v>
      </c>
      <c r="E22" s="56" t="n">
        <f aca="false">E12-E20</f>
        <v>1117</v>
      </c>
      <c r="F22" s="56" t="n">
        <f aca="false">F12-F20</f>
        <v>648</v>
      </c>
    </row>
    <row r="23" customFormat="false" ht="15" hidden="false" customHeight="false" outlineLevel="0" collapsed="false">
      <c r="A23" s="53" t="s">
        <v>508</v>
      </c>
      <c r="B23" s="54"/>
      <c r="C23" s="31" t="n">
        <f aca="false">C22/C12</f>
        <v>0.0603221391725445</v>
      </c>
      <c r="D23" s="31" t="n">
        <f aca="false">D22/D12</f>
        <v>0.0379777261437385</v>
      </c>
      <c r="E23" s="31" t="n">
        <f aca="false">E22/E12</f>
        <v>0.0724712904690845</v>
      </c>
      <c r="F23" s="31" t="n">
        <f aca="false">F22/F12</f>
        <v>0.0454896454896455</v>
      </c>
    </row>
    <row r="24" customFormat="false" ht="15" hidden="false" customHeight="false" outlineLevel="0" collapsed="false">
      <c r="A24" s="53" t="s">
        <v>509</v>
      </c>
      <c r="B24" s="54" t="s">
        <v>493</v>
      </c>
      <c r="C24" s="23" t="n">
        <v>40</v>
      </c>
      <c r="D24" s="23" t="n">
        <v>48</v>
      </c>
      <c r="E24" s="23" t="n">
        <v>62</v>
      </c>
      <c r="F24" s="23" t="n">
        <v>84</v>
      </c>
    </row>
    <row r="25" customFormat="false" ht="15" hidden="false" customHeight="false" outlineLevel="0" collapsed="false">
      <c r="A25" s="55" t="s">
        <v>510</v>
      </c>
      <c r="B25" s="54"/>
      <c r="C25" s="56" t="n">
        <f aca="false">C22-C24</f>
        <v>533</v>
      </c>
      <c r="D25" s="56" t="n">
        <f aca="false">D22-D24</f>
        <v>426</v>
      </c>
      <c r="E25" s="56" t="n">
        <f aca="false">E22-E24</f>
        <v>1055</v>
      </c>
      <c r="F25" s="56" t="n">
        <f aca="false">F22-F24</f>
        <v>564</v>
      </c>
    </row>
    <row r="26" customFormat="false" ht="15" hidden="false" customHeight="false" outlineLevel="0" collapsed="false">
      <c r="A26" s="53" t="s">
        <v>511</v>
      </c>
      <c r="B26" s="54" t="s">
        <v>493</v>
      </c>
      <c r="C26" s="23" t="n">
        <v>30</v>
      </c>
      <c r="D26" s="23" t="n">
        <v>56</v>
      </c>
      <c r="E26" s="23" t="n">
        <v>62</v>
      </c>
      <c r="F26" s="23" t="n">
        <v>87</v>
      </c>
    </row>
    <row r="27" customFormat="false" ht="15" hidden="false" customHeight="false" outlineLevel="0" collapsed="false">
      <c r="A27" s="53" t="s">
        <v>512</v>
      </c>
      <c r="B27" s="54" t="s">
        <v>493</v>
      </c>
      <c r="C27" s="23" t="n">
        <v>168</v>
      </c>
      <c r="D27" s="23" t="n">
        <v>253</v>
      </c>
      <c r="E27" s="23" t="n">
        <v>324</v>
      </c>
      <c r="F27" s="23" t="n">
        <v>238</v>
      </c>
    </row>
    <row r="28" customFormat="false" ht="15" hidden="false" customHeight="false" outlineLevel="0" collapsed="false">
      <c r="A28" s="53" t="s">
        <v>513</v>
      </c>
      <c r="B28" s="54" t="s">
        <v>493</v>
      </c>
      <c r="C28" s="23" t="n">
        <v>-121</v>
      </c>
      <c r="D28" s="23" t="n">
        <v>-139</v>
      </c>
      <c r="E28" s="23" t="n">
        <v>-126</v>
      </c>
      <c r="F28" s="23" t="n">
        <v>-131</v>
      </c>
    </row>
    <row r="29" customFormat="false" ht="15" hidden="false" customHeight="false" outlineLevel="0" collapsed="false">
      <c r="A29" s="53" t="s">
        <v>514</v>
      </c>
      <c r="B29" s="54" t="s">
        <v>493</v>
      </c>
      <c r="C29" s="23" t="n">
        <v>-244</v>
      </c>
      <c r="D29" s="23" t="n">
        <v>0</v>
      </c>
      <c r="E29" s="23" t="n">
        <v>0</v>
      </c>
      <c r="F29" s="23" t="n">
        <v>-26</v>
      </c>
    </row>
    <row r="30" customFormat="false" ht="15" hidden="false" customHeight="false" outlineLevel="0" collapsed="false">
      <c r="A30" s="55" t="s">
        <v>515</v>
      </c>
      <c r="B30" s="54"/>
      <c r="C30" s="56" t="n">
        <f aca="false">C25-C26+C27+C28+C29</f>
        <v>306</v>
      </c>
      <c r="D30" s="56" t="n">
        <f aca="false">D25-D26+D27+D28+D29</f>
        <v>484</v>
      </c>
      <c r="E30" s="56" t="n">
        <f aca="false">E25-E26+E27+E28+E29</f>
        <v>1191</v>
      </c>
      <c r="F30" s="56" t="n">
        <f aca="false">F25-F26+F27+F28+F29</f>
        <v>558</v>
      </c>
    </row>
    <row r="31" customFormat="false" ht="15" hidden="false" customHeight="false" outlineLevel="0" collapsed="false">
      <c r="A31" s="53" t="s">
        <v>516</v>
      </c>
      <c r="B31" s="54" t="s">
        <v>493</v>
      </c>
      <c r="C31" s="23" t="n">
        <v>171</v>
      </c>
      <c r="D31" s="23" t="n">
        <v>238</v>
      </c>
      <c r="E31" s="23" t="n">
        <v>356</v>
      </c>
      <c r="F31" s="23" t="n">
        <v>187</v>
      </c>
    </row>
    <row r="32" customFormat="false" ht="15" hidden="false" customHeight="false" outlineLevel="0" collapsed="false">
      <c r="A32" s="53" t="s">
        <v>517</v>
      </c>
      <c r="B32" s="54"/>
      <c r="C32" s="31" t="n">
        <f aca="false">C31/C30</f>
        <v>0.558823529411765</v>
      </c>
      <c r="D32" s="31" t="n">
        <f aca="false">D31/D30</f>
        <v>0.491735537190083</v>
      </c>
      <c r="E32" s="31" t="n">
        <f aca="false">E31/E30</f>
        <v>0.298908480268682</v>
      </c>
      <c r="F32" s="31" t="n">
        <f aca="false">F31/F30</f>
        <v>0.335125448028674</v>
      </c>
    </row>
    <row r="33" customFormat="false" ht="15" hidden="false" customHeight="false" outlineLevel="0" collapsed="false">
      <c r="A33" s="55" t="s">
        <v>518</v>
      </c>
      <c r="B33" s="54"/>
      <c r="C33" s="56" t="n">
        <f aca="false">C30-C31</f>
        <v>135</v>
      </c>
      <c r="D33" s="56" t="n">
        <f aca="false">D30-D31</f>
        <v>246</v>
      </c>
      <c r="E33" s="56" t="n">
        <f aca="false">E30-E31</f>
        <v>835</v>
      </c>
      <c r="F33" s="56" t="n">
        <f aca="false">F30-F31</f>
        <v>371</v>
      </c>
    </row>
    <row r="34" customFormat="false" ht="15" hidden="false" customHeight="false" outlineLevel="0" collapsed="false">
      <c r="A34" s="53" t="s">
        <v>519</v>
      </c>
      <c r="B34" s="54" t="s">
        <v>493</v>
      </c>
    </row>
    <row r="35" customFormat="false" ht="15" hidden="false" customHeight="false" outlineLevel="0" collapsed="false">
      <c r="A35" s="55" t="s">
        <v>520</v>
      </c>
      <c r="B35" s="54"/>
      <c r="C35" s="56" t="n">
        <f aca="false">C33-N(C34)</f>
        <v>135</v>
      </c>
      <c r="D35" s="56" t="n">
        <f aca="false">D33-N(D34)</f>
        <v>246</v>
      </c>
      <c r="E35" s="56" t="n">
        <f aca="false">E33-N(E34)</f>
        <v>835</v>
      </c>
      <c r="F35" s="56" t="n">
        <f aca="false">F33-N(F34)</f>
        <v>371</v>
      </c>
    </row>
    <row r="37" customFormat="false" ht="15" hidden="false" customHeight="false" outlineLevel="0" collapsed="false">
      <c r="A37" s="53" t="s">
        <v>521</v>
      </c>
      <c r="B37" s="54" t="s">
        <v>522</v>
      </c>
      <c r="C37" s="37" t="n">
        <f aca="false">Assumptions!$C$9</f>
        <v>33.08</v>
      </c>
      <c r="D37" s="37" t="n">
        <f aca="false">Assumptions!$C$9</f>
        <v>33.08</v>
      </c>
      <c r="E37" s="37" t="n">
        <f aca="false">Assumptions!$C$9</f>
        <v>33.08</v>
      </c>
      <c r="F37" s="37" t="n">
        <f aca="false">Assumptions!$C$9</f>
        <v>33.08</v>
      </c>
    </row>
    <row r="38" customFormat="false" ht="15" hidden="false" customHeight="false" outlineLevel="0" collapsed="false">
      <c r="A38" s="5" t="s">
        <v>523</v>
      </c>
      <c r="B38" s="54"/>
      <c r="C38" s="57" t="n">
        <f aca="false">C35/C37</f>
        <v>4.08101571946796</v>
      </c>
      <c r="D38" s="57" t="n">
        <f aca="false">D35/D37</f>
        <v>7.43651753325272</v>
      </c>
      <c r="E38" s="57" t="n">
        <f aca="false">E35/E37</f>
        <v>25.2418379685611</v>
      </c>
      <c r="F38" s="57" t="n">
        <f aca="false">F35/F37</f>
        <v>11.2152357920193</v>
      </c>
    </row>
    <row r="39" customFormat="false" ht="15" hidden="false" customHeight="false" outlineLevel="0" collapsed="false">
      <c r="A39" s="51" t="s">
        <v>524</v>
      </c>
      <c r="B39" s="52"/>
      <c r="C39" s="52"/>
      <c r="D39" s="52"/>
      <c r="E39" s="52"/>
      <c r="F39" s="52"/>
    </row>
    <row r="40" customFormat="false" ht="15" hidden="false" customHeight="false" outlineLevel="0" collapsed="false">
      <c r="A40" s="53" t="s">
        <v>525</v>
      </c>
      <c r="B40" s="54"/>
      <c r="C40" s="31" t="n">
        <f aca="false">C14/C12</f>
        <v>0.506158543004527</v>
      </c>
      <c r="D40" s="31" t="n">
        <f aca="false">D14/D12</f>
        <v>0.543065459498438</v>
      </c>
      <c r="E40" s="31" t="n">
        <f aca="false">E14/E12</f>
        <v>0.527217284110816</v>
      </c>
      <c r="F40" s="31" t="n">
        <f aca="false">F14/F12</f>
        <v>0.57957177957178</v>
      </c>
    </row>
    <row r="41" customFormat="false" ht="15" hidden="false" customHeight="false" outlineLevel="0" collapsed="false">
      <c r="A41" s="53" t="s">
        <v>526</v>
      </c>
      <c r="B41" s="54"/>
      <c r="C41" s="31" t="n">
        <f aca="false">C17/C12</f>
        <v>0.0702179176755448</v>
      </c>
      <c r="D41" s="31" t="n">
        <f aca="false">D17/D12</f>
        <v>0.062414870603317</v>
      </c>
      <c r="E41" s="31" t="n">
        <f aca="false">E17/E12</f>
        <v>0.0577434633101927</v>
      </c>
      <c r="F41" s="31" t="n">
        <f aca="false">F17/F12</f>
        <v>0.0659178659178659</v>
      </c>
    </row>
    <row r="42" customFormat="false" ht="15" hidden="false" customHeight="false" outlineLevel="0" collapsed="false">
      <c r="A42" s="53" t="s">
        <v>527</v>
      </c>
      <c r="B42" s="54"/>
      <c r="C42" s="31" t="n">
        <f aca="false">C19/C12</f>
        <v>0.0927466049057796</v>
      </c>
      <c r="D42" s="31" t="n">
        <f aca="false">D19/D12</f>
        <v>0.113292204150308</v>
      </c>
      <c r="E42" s="31" t="n">
        <f aca="false">E19/E12</f>
        <v>0.0938169078050996</v>
      </c>
      <c r="F42" s="31" t="n">
        <f aca="false">F19/F12</f>
        <v>0.111547911547912</v>
      </c>
    </row>
    <row r="43" customFormat="false" ht="15" hidden="false" customHeight="false" outlineLevel="0" collapsed="false">
      <c r="A43" s="53" t="s">
        <v>508</v>
      </c>
      <c r="B43" s="54"/>
      <c r="C43" s="31" t="n">
        <f aca="false">C22/C12</f>
        <v>0.0603221391725445</v>
      </c>
      <c r="D43" s="31" t="n">
        <f aca="false">D22/D12</f>
        <v>0.0379777261437385</v>
      </c>
      <c r="E43" s="31" t="n">
        <f aca="false">E22/E12</f>
        <v>0.0724712904690845</v>
      </c>
      <c r="F43" s="31" t="n">
        <f aca="false">F22/F12</f>
        <v>0.0454896454896455</v>
      </c>
    </row>
    <row r="44" customFormat="false" ht="15" hidden="false" customHeight="false" outlineLevel="0" collapsed="false">
      <c r="A44" s="53" t="s">
        <v>528</v>
      </c>
      <c r="B44" s="54"/>
      <c r="C44" s="31" t="n">
        <f aca="false">C25/C12</f>
        <v>0.0561111695967997</v>
      </c>
      <c r="D44" s="31" t="n">
        <f aca="false">D25/D12</f>
        <v>0.0341318804582966</v>
      </c>
      <c r="E44" s="31" t="n">
        <f aca="false">E25/E12</f>
        <v>0.0684487121261273</v>
      </c>
      <c r="F44" s="31" t="n">
        <f aca="false">F25/F12</f>
        <v>0.0395928395928396</v>
      </c>
    </row>
    <row r="45" customFormat="false" ht="15" hidden="false" customHeight="false" outlineLevel="0" collapsed="false">
      <c r="A45" s="53" t="s">
        <v>529</v>
      </c>
      <c r="B45" s="54"/>
      <c r="C45" s="31" t="n">
        <f aca="false">C33/C12</f>
        <v>0.0142120223181388</v>
      </c>
      <c r="D45" s="31" t="n">
        <f aca="false">D33/D12</f>
        <v>0.0197099591378896</v>
      </c>
      <c r="E45" s="31" t="n">
        <f aca="false">E33/E12</f>
        <v>0.0541750470382145</v>
      </c>
      <c r="F45" s="31" t="n">
        <f aca="false">F33/F12</f>
        <v>0.026044226044226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1" min="3" style="0" width="11.5"/>
  </cols>
  <sheetData>
    <row r="1" customFormat="false" ht="17.35" hidden="false" customHeight="false" outlineLevel="0" collapsed="false">
      <c r="A1" s="17" t="s">
        <v>530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18" t="s">
        <v>483</v>
      </c>
    </row>
    <row r="4" customFormat="false" ht="15" hidden="false" customHeight="false" outlineLevel="0" collapsed="false">
      <c r="C4" s="48" t="s">
        <v>484</v>
      </c>
    </row>
    <row r="5" customFormat="false" ht="15" hidden="false" customHeight="false" outlineLevel="0" collapsed="false">
      <c r="A5" s="49" t="s">
        <v>485</v>
      </c>
      <c r="B5" s="49" t="s">
        <v>486</v>
      </c>
      <c r="C5" s="50" t="s">
        <v>487</v>
      </c>
      <c r="D5" s="50" t="s">
        <v>488</v>
      </c>
      <c r="E5" s="50" t="s">
        <v>489</v>
      </c>
      <c r="F5" s="50" t="s">
        <v>490</v>
      </c>
    </row>
    <row r="6" customFormat="false" ht="15" hidden="false" customHeight="false" outlineLevel="0" collapsed="false">
      <c r="A6" s="51" t="s">
        <v>531</v>
      </c>
      <c r="B6" s="52"/>
      <c r="C6" s="52"/>
      <c r="D6" s="52"/>
      <c r="E6" s="52"/>
      <c r="F6" s="52"/>
    </row>
    <row r="7" customFormat="false" ht="15" hidden="false" customHeight="false" outlineLevel="0" collapsed="false">
      <c r="A7" s="53" t="s">
        <v>532</v>
      </c>
      <c r="B7" s="54" t="s">
        <v>493</v>
      </c>
      <c r="C7" s="23" t="n">
        <v>33</v>
      </c>
      <c r="D7" s="23" t="n">
        <v>33</v>
      </c>
      <c r="E7" s="23" t="n">
        <v>33</v>
      </c>
      <c r="F7" s="23" t="n">
        <v>33</v>
      </c>
    </row>
    <row r="8" customFormat="false" ht="15" hidden="false" customHeight="false" outlineLevel="0" collapsed="false">
      <c r="A8" s="53" t="s">
        <v>533</v>
      </c>
      <c r="B8" s="54" t="s">
        <v>493</v>
      </c>
      <c r="C8" s="23" t="n">
        <v>5419</v>
      </c>
      <c r="D8" s="23" t="n">
        <v>5787</v>
      </c>
      <c r="E8" s="23" t="n">
        <v>6480</v>
      </c>
      <c r="F8" s="23" t="n">
        <v>6343</v>
      </c>
    </row>
    <row r="9" customFormat="false" ht="15" hidden="false" customHeight="false" outlineLevel="0" collapsed="false">
      <c r="A9" s="53" t="s">
        <v>534</v>
      </c>
      <c r="B9" s="54" t="s">
        <v>493</v>
      </c>
      <c r="C9" s="23" t="n">
        <v>42</v>
      </c>
      <c r="D9" s="23" t="n">
        <v>34</v>
      </c>
      <c r="E9" s="23" t="n">
        <v>27</v>
      </c>
      <c r="F9" s="23" t="n">
        <v>23</v>
      </c>
    </row>
    <row r="10" customFormat="false" ht="15" hidden="false" customHeight="false" outlineLevel="0" collapsed="false">
      <c r="A10" s="55" t="s">
        <v>535</v>
      </c>
      <c r="B10" s="54"/>
      <c r="C10" s="56" t="n">
        <f aca="false">SUM(C7:C9)</f>
        <v>5494</v>
      </c>
      <c r="D10" s="56" t="n">
        <f aca="false">SUM(D7:D9)</f>
        <v>5854</v>
      </c>
      <c r="E10" s="56" t="n">
        <f aca="false">SUM(E7:E9)</f>
        <v>6540</v>
      </c>
      <c r="F10" s="56" t="n">
        <f aca="false">SUM(F7:F9)</f>
        <v>6399</v>
      </c>
    </row>
    <row r="12" customFormat="false" ht="15" hidden="false" customHeight="false" outlineLevel="0" collapsed="false">
      <c r="A12" s="53" t="s">
        <v>536</v>
      </c>
      <c r="B12" s="54" t="s">
        <v>493</v>
      </c>
      <c r="C12" s="23" t="n">
        <v>21</v>
      </c>
      <c r="D12" s="23" t="n">
        <v>228</v>
      </c>
      <c r="E12" s="23" t="n">
        <v>383</v>
      </c>
      <c r="F12" s="23" t="n">
        <v>376</v>
      </c>
    </row>
    <row r="13" customFormat="false" ht="15" hidden="false" customHeight="false" outlineLevel="0" collapsed="false">
      <c r="A13" s="53" t="s">
        <v>537</v>
      </c>
      <c r="B13" s="54" t="s">
        <v>493</v>
      </c>
      <c r="C13" s="23" t="n">
        <v>25</v>
      </c>
      <c r="D13" s="23" t="n">
        <v>21</v>
      </c>
      <c r="E13" s="23" t="n">
        <v>18</v>
      </c>
      <c r="F13" s="23" t="n">
        <v>15</v>
      </c>
    </row>
    <row r="14" customFormat="false" ht="15" hidden="false" customHeight="false" outlineLevel="0" collapsed="false">
      <c r="A14" s="53" t="s">
        <v>538</v>
      </c>
      <c r="B14" s="54" t="s">
        <v>493</v>
      </c>
      <c r="C14" s="23" t="n">
        <v>5</v>
      </c>
      <c r="D14" s="23" t="n">
        <v>59</v>
      </c>
      <c r="E14" s="23" t="n">
        <v>58</v>
      </c>
      <c r="F14" s="23" t="n">
        <v>14</v>
      </c>
    </row>
    <row r="15" customFormat="false" ht="15" hidden="false" customHeight="false" outlineLevel="0" collapsed="false">
      <c r="A15" s="53" t="s">
        <v>539</v>
      </c>
      <c r="B15" s="54" t="s">
        <v>493</v>
      </c>
      <c r="C15" s="23" t="n">
        <v>114</v>
      </c>
      <c r="D15" s="23" t="n">
        <v>117</v>
      </c>
      <c r="E15" s="23" t="n">
        <v>147</v>
      </c>
      <c r="F15" s="23" t="n">
        <v>152</v>
      </c>
    </row>
    <row r="16" customFormat="false" ht="15" hidden="false" customHeight="false" outlineLevel="0" collapsed="false">
      <c r="A16" s="55" t="s">
        <v>540</v>
      </c>
      <c r="B16" s="54"/>
      <c r="C16" s="56" t="n">
        <f aca="false">SUM(C12:C15)</f>
        <v>165</v>
      </c>
      <c r="D16" s="56" t="n">
        <f aca="false">SUM(D12:D15)</f>
        <v>425</v>
      </c>
      <c r="E16" s="56" t="n">
        <f aca="false">SUM(E12:E15)</f>
        <v>606</v>
      </c>
      <c r="F16" s="56" t="n">
        <f aca="false">SUM(F12:F15)</f>
        <v>557</v>
      </c>
    </row>
    <row r="18" customFormat="false" ht="15" hidden="false" customHeight="false" outlineLevel="0" collapsed="false">
      <c r="A18" s="53" t="s">
        <v>541</v>
      </c>
      <c r="B18" s="54" t="s">
        <v>493</v>
      </c>
      <c r="C18" s="23" t="n">
        <v>595</v>
      </c>
      <c r="D18" s="23" t="n">
        <v>485</v>
      </c>
      <c r="E18" s="23" t="n">
        <v>481</v>
      </c>
      <c r="F18" s="23" t="n">
        <v>591</v>
      </c>
    </row>
    <row r="19" customFormat="false" ht="15" hidden="false" customHeight="false" outlineLevel="0" collapsed="false">
      <c r="A19" s="53" t="s">
        <v>542</v>
      </c>
      <c r="B19" s="54" t="s">
        <v>493</v>
      </c>
      <c r="C19" s="23" t="n">
        <v>9</v>
      </c>
      <c r="D19" s="23" t="n">
        <v>9</v>
      </c>
      <c r="E19" s="23" t="n">
        <v>11</v>
      </c>
      <c r="F19" s="23" t="n">
        <v>11</v>
      </c>
    </row>
    <row r="20" customFormat="false" ht="15" hidden="false" customHeight="false" outlineLevel="0" collapsed="false">
      <c r="A20" s="53" t="s">
        <v>543</v>
      </c>
      <c r="B20" s="54" t="s">
        <v>493</v>
      </c>
      <c r="C20" s="23" t="n">
        <v>3013</v>
      </c>
      <c r="D20" s="23" t="n">
        <v>3856</v>
      </c>
      <c r="E20" s="23" t="n">
        <v>3893</v>
      </c>
      <c r="F20" s="23" t="n">
        <v>5228</v>
      </c>
    </row>
    <row r="21" customFormat="false" ht="15" hidden="false" customHeight="false" outlineLevel="0" collapsed="false">
      <c r="A21" s="53" t="s">
        <v>544</v>
      </c>
      <c r="B21" s="54" t="s">
        <v>493</v>
      </c>
      <c r="C21" s="23" t="n">
        <v>1003</v>
      </c>
      <c r="D21" s="23" t="n">
        <v>1406</v>
      </c>
      <c r="E21" s="23" t="n">
        <v>1621</v>
      </c>
      <c r="F21" s="23" t="n">
        <v>1724</v>
      </c>
    </row>
    <row r="22" customFormat="false" ht="15" hidden="false" customHeight="false" outlineLevel="0" collapsed="false">
      <c r="A22" s="55" t="s">
        <v>545</v>
      </c>
      <c r="B22" s="54"/>
      <c r="C22" s="56" t="n">
        <f aca="false">SUM(C18:C21)</f>
        <v>4620</v>
      </c>
      <c r="D22" s="56" t="n">
        <f aca="false">SUM(D18:D21)</f>
        <v>5756</v>
      </c>
      <c r="E22" s="56" t="n">
        <f aca="false">SUM(E18:E21)</f>
        <v>6006</v>
      </c>
      <c r="F22" s="56" t="n">
        <f aca="false">SUM(F18:F21)</f>
        <v>7554</v>
      </c>
    </row>
    <row r="23" customFormat="false" ht="15" hidden="false" customHeight="false" outlineLevel="0" collapsed="false">
      <c r="A23" s="55" t="s">
        <v>546</v>
      </c>
      <c r="B23" s="54"/>
      <c r="C23" s="56" t="n">
        <f aca="false">C10+C16+C22</f>
        <v>10279</v>
      </c>
      <c r="D23" s="56" t="n">
        <f aca="false">D10+D16+D22</f>
        <v>12035</v>
      </c>
      <c r="E23" s="56" t="n">
        <f aca="false">E10+E16+E22</f>
        <v>13152</v>
      </c>
      <c r="F23" s="56" t="n">
        <f aca="false">F10+F16+F22</f>
        <v>14510</v>
      </c>
    </row>
    <row r="25" customFormat="false" ht="15" hidden="false" customHeight="false" outlineLevel="0" collapsed="false">
      <c r="A25" s="51" t="s">
        <v>547</v>
      </c>
      <c r="B25" s="52"/>
      <c r="C25" s="52"/>
      <c r="D25" s="52"/>
      <c r="E25" s="52"/>
      <c r="F25" s="52"/>
    </row>
    <row r="26" customFormat="false" ht="15" hidden="false" customHeight="false" outlineLevel="0" collapsed="false">
      <c r="A26" s="53" t="s">
        <v>548</v>
      </c>
      <c r="B26" s="54" t="s">
        <v>493</v>
      </c>
      <c r="C26" s="23" t="n">
        <v>361</v>
      </c>
      <c r="D26" s="23" t="n">
        <v>390</v>
      </c>
      <c r="E26" s="23" t="n">
        <v>820</v>
      </c>
      <c r="F26" s="23" t="n">
        <v>935</v>
      </c>
    </row>
    <row r="27" customFormat="false" ht="15" hidden="false" customHeight="false" outlineLevel="0" collapsed="false">
      <c r="A27" s="53" t="s">
        <v>549</v>
      </c>
      <c r="B27" s="54" t="s">
        <v>493</v>
      </c>
      <c r="C27" s="23" t="n">
        <v>98</v>
      </c>
      <c r="D27" s="23" t="n">
        <v>368</v>
      </c>
      <c r="E27" s="23" t="n">
        <v>82</v>
      </c>
      <c r="F27" s="23" t="n">
        <v>22</v>
      </c>
    </row>
    <row r="28" customFormat="false" ht="15" hidden="false" customHeight="false" outlineLevel="0" collapsed="false">
      <c r="A28" s="53" t="s">
        <v>550</v>
      </c>
      <c r="B28" s="54" t="s">
        <v>493</v>
      </c>
      <c r="C28" s="23" t="n">
        <v>36</v>
      </c>
      <c r="D28" s="23" t="n">
        <v>35</v>
      </c>
      <c r="E28" s="23" t="n">
        <v>34</v>
      </c>
      <c r="F28" s="23" t="n">
        <v>32</v>
      </c>
    </row>
    <row r="29" customFormat="false" ht="15" hidden="false" customHeight="false" outlineLevel="0" collapsed="false">
      <c r="A29" s="53" t="s">
        <v>551</v>
      </c>
      <c r="B29" s="54" t="s">
        <v>493</v>
      </c>
      <c r="C29" s="23" t="n">
        <v>79</v>
      </c>
      <c r="D29" s="23" t="n">
        <v>78</v>
      </c>
      <c r="E29" s="23" t="n">
        <v>76</v>
      </c>
      <c r="F29" s="23" t="n">
        <v>76</v>
      </c>
    </row>
    <row r="30" customFormat="false" ht="15" hidden="false" customHeight="false" outlineLevel="0" collapsed="false">
      <c r="A30" s="53" t="s">
        <v>552</v>
      </c>
      <c r="B30" s="54" t="s">
        <v>493</v>
      </c>
      <c r="C30" s="23" t="n">
        <v>2531</v>
      </c>
      <c r="D30" s="23" t="n">
        <v>2768</v>
      </c>
      <c r="E30" s="23" t="n">
        <v>2638</v>
      </c>
      <c r="F30" s="23" t="n">
        <v>2307</v>
      </c>
    </row>
    <row r="31" customFormat="false" ht="15" hidden="false" customHeight="false" outlineLevel="0" collapsed="false">
      <c r="A31" s="53" t="s">
        <v>553</v>
      </c>
      <c r="B31" s="54" t="s">
        <v>493</v>
      </c>
      <c r="C31" s="23" t="n">
        <v>36</v>
      </c>
      <c r="D31" s="23" t="n">
        <v>41</v>
      </c>
      <c r="E31" s="23" t="n">
        <v>44</v>
      </c>
      <c r="F31" s="23" t="n">
        <v>51</v>
      </c>
    </row>
    <row r="32" customFormat="false" ht="15" hidden="false" customHeight="false" outlineLevel="0" collapsed="false">
      <c r="A32" s="53" t="s">
        <v>554</v>
      </c>
      <c r="B32" s="54" t="s">
        <v>493</v>
      </c>
      <c r="C32" s="23" t="n">
        <v>692</v>
      </c>
      <c r="D32" s="23" t="n">
        <v>632</v>
      </c>
      <c r="E32" s="23" t="n">
        <v>580</v>
      </c>
      <c r="F32" s="23" t="n">
        <v>758</v>
      </c>
    </row>
    <row r="33" customFormat="false" ht="15" hidden="false" customHeight="false" outlineLevel="0" collapsed="false">
      <c r="A33" s="55" t="s">
        <v>555</v>
      </c>
      <c r="B33" s="54"/>
      <c r="C33" s="56" t="n">
        <f aca="false">SUM(C26:C32)</f>
        <v>3833</v>
      </c>
      <c r="D33" s="56" t="n">
        <f aca="false">SUM(D26:D32)</f>
        <v>4312</v>
      </c>
      <c r="E33" s="56" t="n">
        <f aca="false">SUM(E26:E32)</f>
        <v>4274</v>
      </c>
      <c r="F33" s="56" t="n">
        <f aca="false">SUM(F26:F32)</f>
        <v>4181</v>
      </c>
    </row>
    <row r="35" customFormat="false" ht="15" hidden="false" customHeight="false" outlineLevel="0" collapsed="false">
      <c r="A35" s="53" t="s">
        <v>556</v>
      </c>
      <c r="B35" s="54" t="s">
        <v>493</v>
      </c>
      <c r="C35" s="23" t="n">
        <v>1592</v>
      </c>
      <c r="D35" s="23" t="n">
        <v>2135</v>
      </c>
      <c r="E35" s="23" t="n">
        <v>2715</v>
      </c>
      <c r="F35" s="23" t="n">
        <v>3433</v>
      </c>
    </row>
    <row r="36" customFormat="false" ht="15" hidden="false" customHeight="false" outlineLevel="0" collapsed="false">
      <c r="A36" s="53" t="s">
        <v>557</v>
      </c>
      <c r="B36" s="54" t="s">
        <v>493</v>
      </c>
      <c r="C36" s="23" t="n">
        <v>2192</v>
      </c>
      <c r="D36" s="23" t="n">
        <v>2533</v>
      </c>
      <c r="E36" s="23" t="n">
        <v>2511</v>
      </c>
      <c r="F36" s="23" t="n">
        <v>3035</v>
      </c>
    </row>
    <row r="37" customFormat="false" ht="15" hidden="false" customHeight="false" outlineLevel="0" collapsed="false">
      <c r="A37" s="53" t="s">
        <v>558</v>
      </c>
      <c r="B37" s="54" t="s">
        <v>493</v>
      </c>
      <c r="C37" s="23" t="n">
        <v>708</v>
      </c>
      <c r="D37" s="23" t="n">
        <v>852</v>
      </c>
      <c r="E37" s="23" t="n">
        <v>678</v>
      </c>
      <c r="F37" s="23" t="n">
        <v>781</v>
      </c>
    </row>
    <row r="38" customFormat="false" ht="15" hidden="false" customHeight="false" outlineLevel="0" collapsed="false">
      <c r="A38" s="53" t="s">
        <v>559</v>
      </c>
      <c r="B38" s="54" t="s">
        <v>493</v>
      </c>
      <c r="C38" s="23" t="n">
        <v>307</v>
      </c>
      <c r="D38" s="23" t="n">
        <v>501</v>
      </c>
      <c r="E38" s="23" t="n">
        <v>399</v>
      </c>
      <c r="F38" s="23" t="n">
        <v>277</v>
      </c>
    </row>
    <row r="39" customFormat="false" ht="15" hidden="false" customHeight="false" outlineLevel="0" collapsed="false">
      <c r="A39" s="53" t="s">
        <v>560</v>
      </c>
      <c r="B39" s="54" t="s">
        <v>493</v>
      </c>
      <c r="C39" s="23" t="n">
        <v>978</v>
      </c>
      <c r="D39" s="23" t="n">
        <v>744</v>
      </c>
      <c r="E39" s="23" t="n">
        <v>1300</v>
      </c>
      <c r="F39" s="23" t="n">
        <v>1867</v>
      </c>
    </row>
    <row r="40" customFormat="false" ht="15" hidden="false" customHeight="false" outlineLevel="0" collapsed="false">
      <c r="A40" s="53" t="s">
        <v>561</v>
      </c>
      <c r="B40" s="54" t="s">
        <v>493</v>
      </c>
      <c r="C40" s="23" t="n">
        <v>669</v>
      </c>
      <c r="D40" s="23" t="n">
        <v>959</v>
      </c>
      <c r="E40" s="23" t="n">
        <v>1275</v>
      </c>
      <c r="F40" s="23" t="n">
        <v>936</v>
      </c>
    </row>
    <row r="41" customFormat="false" ht="15" hidden="false" customHeight="false" outlineLevel="0" collapsed="false">
      <c r="A41" s="55" t="s">
        <v>562</v>
      </c>
      <c r="B41" s="54"/>
      <c r="C41" s="56" t="n">
        <f aca="false">SUM(C35:C40)</f>
        <v>6446</v>
      </c>
      <c r="D41" s="56" t="n">
        <f aca="false">SUM(D35:D40)</f>
        <v>7724</v>
      </c>
      <c r="E41" s="56" t="n">
        <f aca="false">SUM(E35:E40)</f>
        <v>8878</v>
      </c>
      <c r="F41" s="56" t="n">
        <f aca="false">SUM(F35:F40)</f>
        <v>10329</v>
      </c>
    </row>
    <row r="42" customFormat="false" ht="15" hidden="false" customHeight="false" outlineLevel="0" collapsed="false">
      <c r="A42" s="55" t="s">
        <v>563</v>
      </c>
      <c r="B42" s="54"/>
      <c r="C42" s="56" t="n">
        <f aca="false">C33+C41</f>
        <v>10279</v>
      </c>
      <c r="D42" s="56" t="n">
        <f aca="false">D33+D41</f>
        <v>12036</v>
      </c>
      <c r="E42" s="56" t="n">
        <f aca="false">E33+E41</f>
        <v>13152</v>
      </c>
      <c r="F42" s="56" t="n">
        <f aca="false">F33+F41</f>
        <v>14510</v>
      </c>
    </row>
    <row r="44" customFormat="false" ht="15" hidden="false" customHeight="false" outlineLevel="0" collapsed="false">
      <c r="A44" s="58" t="s">
        <v>564</v>
      </c>
      <c r="B44" s="54"/>
      <c r="C44" s="59" t="n">
        <f aca="false">C42-C23</f>
        <v>0</v>
      </c>
      <c r="D44" s="59" t="n">
        <f aca="false">D42-D23</f>
        <v>1</v>
      </c>
      <c r="E44" s="59" t="n">
        <f aca="false">E42-E23</f>
        <v>0</v>
      </c>
      <c r="F44" s="59" t="n">
        <f aca="false">F42-F23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1" min="3" style="0" width="11.5"/>
  </cols>
  <sheetData>
    <row r="1" customFormat="false" ht="17.35" hidden="false" customHeight="false" outlineLevel="0" collapsed="false">
      <c r="A1" s="17" t="s">
        <v>565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18" t="s">
        <v>483</v>
      </c>
    </row>
    <row r="4" customFormat="false" ht="15" hidden="false" customHeight="false" outlineLevel="0" collapsed="false">
      <c r="C4" s="48" t="s">
        <v>484</v>
      </c>
    </row>
    <row r="5" customFormat="false" ht="15" hidden="false" customHeight="false" outlineLevel="0" collapsed="false">
      <c r="A5" s="49" t="s">
        <v>485</v>
      </c>
      <c r="B5" s="49" t="s">
        <v>486</v>
      </c>
      <c r="C5" s="50" t="s">
        <v>487</v>
      </c>
      <c r="D5" s="50" t="s">
        <v>488</v>
      </c>
      <c r="E5" s="50" t="s">
        <v>489</v>
      </c>
      <c r="F5" s="50" t="s">
        <v>490</v>
      </c>
    </row>
    <row r="6" customFormat="false" ht="15" hidden="false" customHeight="false" outlineLevel="0" collapsed="false">
      <c r="A6" s="51" t="s">
        <v>566</v>
      </c>
      <c r="B6" s="52"/>
      <c r="C6" s="52"/>
      <c r="D6" s="52"/>
      <c r="E6" s="52"/>
      <c r="F6" s="52"/>
    </row>
    <row r="7" customFormat="false" ht="15" hidden="false" customHeight="false" outlineLevel="0" collapsed="false">
      <c r="A7" s="53" t="s">
        <v>567</v>
      </c>
      <c r="B7" s="54"/>
      <c r="C7" s="24" t="n">
        <f aca="false">Hist_IS!C30</f>
        <v>306</v>
      </c>
      <c r="D7" s="24" t="n">
        <f aca="false">Hist_IS!D30</f>
        <v>484</v>
      </c>
      <c r="E7" s="24" t="n">
        <f aca="false">Hist_IS!E30</f>
        <v>1191</v>
      </c>
      <c r="F7" s="24" t="n">
        <f aca="false">Hist_IS!F30</f>
        <v>558</v>
      </c>
    </row>
    <row r="8" customFormat="false" ht="15" hidden="false" customHeight="false" outlineLevel="0" collapsed="false">
      <c r="A8" s="53" t="s">
        <v>568</v>
      </c>
      <c r="B8" s="54"/>
      <c r="C8" s="24" t="n">
        <f aca="false">Hist_IS!C24</f>
        <v>40</v>
      </c>
      <c r="D8" s="24" t="n">
        <f aca="false">Hist_IS!D24</f>
        <v>48</v>
      </c>
      <c r="E8" s="24" t="n">
        <f aca="false">Hist_IS!E24</f>
        <v>62</v>
      </c>
      <c r="F8" s="24" t="n">
        <f aca="false">Hist_IS!F24</f>
        <v>84</v>
      </c>
    </row>
    <row r="9" customFormat="false" ht="15" hidden="false" customHeight="false" outlineLevel="0" collapsed="false">
      <c r="A9" s="53" t="s">
        <v>569</v>
      </c>
      <c r="B9" s="54"/>
      <c r="C9" s="24" t="n">
        <f aca="false">Hist_IS!C26</f>
        <v>30</v>
      </c>
      <c r="D9" s="24" t="n">
        <f aca="false">Hist_IS!D26</f>
        <v>56</v>
      </c>
      <c r="E9" s="24" t="n">
        <f aca="false">Hist_IS!E26</f>
        <v>62</v>
      </c>
      <c r="F9" s="24" t="n">
        <f aca="false">Hist_IS!F26</f>
        <v>87</v>
      </c>
    </row>
    <row r="10" customFormat="false" ht="15" hidden="false" customHeight="false" outlineLevel="0" collapsed="false">
      <c r="A10" s="53" t="s">
        <v>570</v>
      </c>
      <c r="B10" s="54" t="s">
        <v>493</v>
      </c>
      <c r="C10" s="23" t="n">
        <v>333</v>
      </c>
      <c r="D10" s="23" t="n">
        <v>304</v>
      </c>
      <c r="E10" s="23" t="n">
        <v>-134</v>
      </c>
      <c r="F10" s="23" t="n">
        <v>-95</v>
      </c>
    </row>
    <row r="11" customFormat="false" ht="15" hidden="false" customHeight="false" outlineLevel="0" collapsed="false">
      <c r="A11" s="53" t="s">
        <v>571</v>
      </c>
      <c r="B11" s="54" t="s">
        <v>493</v>
      </c>
      <c r="C11" s="23" t="n">
        <v>-384</v>
      </c>
      <c r="D11" s="23" t="n">
        <v>80</v>
      </c>
      <c r="E11" s="23" t="n">
        <v>-1094</v>
      </c>
      <c r="F11" s="23" t="n">
        <v>-352</v>
      </c>
    </row>
    <row r="12" customFormat="false" ht="15" hidden="false" customHeight="false" outlineLevel="0" collapsed="false">
      <c r="A12" s="53" t="s">
        <v>572</v>
      </c>
      <c r="B12" s="54" t="s">
        <v>493</v>
      </c>
      <c r="C12" s="23" t="n">
        <v>-166</v>
      </c>
      <c r="D12" s="23" t="n">
        <v>-212</v>
      </c>
      <c r="E12" s="23" t="n">
        <v>-311</v>
      </c>
      <c r="F12" s="23" t="n">
        <v>-211</v>
      </c>
    </row>
    <row r="13" customFormat="false" ht="15" hidden="false" customHeight="false" outlineLevel="0" collapsed="false">
      <c r="A13" s="55" t="s">
        <v>573</v>
      </c>
      <c r="B13" s="54"/>
      <c r="C13" s="56" t="n">
        <f aca="false">SUM(C7:C12)</f>
        <v>159</v>
      </c>
      <c r="D13" s="56" t="n">
        <f aca="false">SUM(D7:D12)</f>
        <v>760</v>
      </c>
      <c r="E13" s="56" t="n">
        <f aca="false">SUM(E7:E12)</f>
        <v>-224</v>
      </c>
      <c r="F13" s="56" t="n">
        <f aca="false">SUM(F7:F12)</f>
        <v>71</v>
      </c>
    </row>
    <row r="15" customFormat="false" ht="15" hidden="false" customHeight="false" outlineLevel="0" collapsed="false">
      <c r="A15" s="51" t="s">
        <v>574</v>
      </c>
      <c r="B15" s="52"/>
      <c r="C15" s="52"/>
      <c r="D15" s="52"/>
      <c r="E15" s="52"/>
      <c r="F15" s="52"/>
    </row>
    <row r="16" customFormat="false" ht="15" hidden="false" customHeight="false" outlineLevel="0" collapsed="false">
      <c r="A16" s="53" t="s">
        <v>575</v>
      </c>
      <c r="B16" s="54" t="s">
        <v>493</v>
      </c>
      <c r="C16" s="23" t="n">
        <v>-180</v>
      </c>
      <c r="D16" s="23" t="n">
        <v>-293</v>
      </c>
      <c r="E16" s="23" t="n">
        <v>-208</v>
      </c>
      <c r="F16" s="23" t="n">
        <v>-133</v>
      </c>
    </row>
    <row r="17" customFormat="false" ht="15" hidden="false" customHeight="false" outlineLevel="0" collapsed="false">
      <c r="A17" s="53" t="s">
        <v>576</v>
      </c>
      <c r="B17" s="54" t="s">
        <v>493</v>
      </c>
      <c r="C17" s="23" t="n">
        <v>2</v>
      </c>
      <c r="D17" s="23" t="n">
        <v>5</v>
      </c>
      <c r="E17" s="23" t="n">
        <v>17</v>
      </c>
      <c r="F17" s="23" t="n">
        <v>4</v>
      </c>
    </row>
    <row r="18" customFormat="false" ht="15" hidden="false" customHeight="false" outlineLevel="0" collapsed="false">
      <c r="A18" s="53" t="s">
        <v>577</v>
      </c>
      <c r="B18" s="54" t="s">
        <v>493</v>
      </c>
      <c r="C18" s="23" t="n">
        <v>25</v>
      </c>
      <c r="D18" s="23" t="n">
        <v>-318</v>
      </c>
      <c r="E18" s="23" t="n">
        <v>218</v>
      </c>
      <c r="F18" s="23" t="n">
        <v>306</v>
      </c>
    </row>
    <row r="19" customFormat="false" ht="15" hidden="false" customHeight="false" outlineLevel="0" collapsed="false">
      <c r="A19" s="53" t="s">
        <v>578</v>
      </c>
      <c r="B19" s="54" t="s">
        <v>493</v>
      </c>
      <c r="C19" s="23" t="n">
        <v>71</v>
      </c>
      <c r="D19" s="23" t="n">
        <v>83</v>
      </c>
      <c r="E19" s="23" t="n">
        <v>131</v>
      </c>
      <c r="F19" s="23" t="n">
        <v>105</v>
      </c>
    </row>
    <row r="20" customFormat="false" ht="15" hidden="false" customHeight="false" outlineLevel="0" collapsed="false">
      <c r="A20" s="55" t="s">
        <v>579</v>
      </c>
      <c r="B20" s="54"/>
      <c r="C20" s="56" t="n">
        <f aca="false">SUM(C16:C19)</f>
        <v>-82</v>
      </c>
      <c r="D20" s="56" t="n">
        <f aca="false">SUM(D16:D19)</f>
        <v>-523</v>
      </c>
      <c r="E20" s="56" t="n">
        <f aca="false">SUM(E16:E19)</f>
        <v>158</v>
      </c>
      <c r="F20" s="56" t="n">
        <f aca="false">SUM(F16:F19)</f>
        <v>282</v>
      </c>
    </row>
    <row r="22" customFormat="false" ht="15" hidden="false" customHeight="false" outlineLevel="0" collapsed="false">
      <c r="A22" s="51" t="s">
        <v>580</v>
      </c>
      <c r="B22" s="52"/>
      <c r="C22" s="52"/>
      <c r="D22" s="52"/>
      <c r="E22" s="52"/>
      <c r="F22" s="52"/>
    </row>
    <row r="23" customFormat="false" ht="15" hidden="false" customHeight="false" outlineLevel="0" collapsed="false">
      <c r="A23" s="53" t="s">
        <v>581</v>
      </c>
      <c r="B23" s="54" t="s">
        <v>493</v>
      </c>
      <c r="C23" s="23" t="n">
        <v>1504</v>
      </c>
      <c r="D23" s="23" t="n">
        <v>590</v>
      </c>
      <c r="E23" s="23" t="n">
        <v>454</v>
      </c>
      <c r="F23" s="23" t="n">
        <v>2112</v>
      </c>
    </row>
    <row r="24" customFormat="false" ht="15" hidden="false" customHeight="false" outlineLevel="0" collapsed="false">
      <c r="A24" s="53" t="s">
        <v>582</v>
      </c>
      <c r="B24" s="54" t="s">
        <v>493</v>
      </c>
      <c r="C24" s="23" t="n">
        <v>-1231</v>
      </c>
      <c r="D24" s="23" t="n">
        <v>-493</v>
      </c>
      <c r="E24" s="23" t="n">
        <v>-304</v>
      </c>
      <c r="F24" s="23" t="n">
        <v>-2039</v>
      </c>
    </row>
    <row r="25" customFormat="false" ht="15" hidden="false" customHeight="false" outlineLevel="0" collapsed="false">
      <c r="A25" s="53" t="s">
        <v>583</v>
      </c>
      <c r="B25" s="54" t="s">
        <v>493</v>
      </c>
      <c r="C25" s="23" t="n">
        <v>-10</v>
      </c>
      <c r="D25" s="23" t="n">
        <v>-18</v>
      </c>
      <c r="E25" s="23" t="n">
        <v>-14</v>
      </c>
      <c r="F25" s="23" t="n">
        <v>-14</v>
      </c>
    </row>
    <row r="26" customFormat="false" ht="15" hidden="false" customHeight="false" outlineLevel="0" collapsed="false">
      <c r="A26" s="53" t="s">
        <v>584</v>
      </c>
      <c r="B26" s="54" t="s">
        <v>493</v>
      </c>
      <c r="C26" s="23" t="n">
        <v>-25</v>
      </c>
      <c r="D26" s="23" t="n">
        <v>-52</v>
      </c>
      <c r="E26" s="23" t="n">
        <v>-54</v>
      </c>
      <c r="F26" s="23" t="n">
        <v>-89</v>
      </c>
    </row>
    <row r="27" customFormat="false" ht="15" hidden="false" customHeight="false" outlineLevel="0" collapsed="false">
      <c r="A27" s="53" t="s">
        <v>585</v>
      </c>
      <c r="B27" s="54" t="s">
        <v>493</v>
      </c>
      <c r="C27" s="23" t="n">
        <v>-183</v>
      </c>
      <c r="D27" s="23" t="n">
        <v>-143</v>
      </c>
      <c r="E27" s="23" t="n">
        <v>-182</v>
      </c>
      <c r="F27" s="23" t="n">
        <v>-232</v>
      </c>
    </row>
    <row r="28" customFormat="false" ht="15" hidden="false" customHeight="false" outlineLevel="0" collapsed="false">
      <c r="A28" s="53" t="s">
        <v>586</v>
      </c>
      <c r="B28" s="54" t="s">
        <v>493</v>
      </c>
      <c r="C28" s="23" t="n">
        <v>0</v>
      </c>
      <c r="D28" s="23" t="n">
        <v>0</v>
      </c>
      <c r="E28" s="23" t="n">
        <v>0</v>
      </c>
      <c r="F28" s="23" t="n">
        <v>0</v>
      </c>
    </row>
    <row r="29" customFormat="false" ht="15" hidden="false" customHeight="false" outlineLevel="0" collapsed="false">
      <c r="A29" s="55" t="s">
        <v>587</v>
      </c>
      <c r="B29" s="54"/>
      <c r="C29" s="56" t="n">
        <f aca="false">SUM(C23:C28)</f>
        <v>55</v>
      </c>
      <c r="D29" s="56" t="n">
        <f aca="false">SUM(D23:D28)</f>
        <v>-116</v>
      </c>
      <c r="E29" s="56" t="n">
        <f aca="false">SUM(E23:E28)</f>
        <v>-100</v>
      </c>
      <c r="F29" s="56" t="n">
        <f aca="false">SUM(F23:F28)</f>
        <v>-262</v>
      </c>
    </row>
    <row r="31" customFormat="false" ht="15" hidden="false" customHeight="false" outlineLevel="0" collapsed="false">
      <c r="A31" s="55" t="s">
        <v>588</v>
      </c>
      <c r="B31" s="54"/>
      <c r="C31" s="56" t="n">
        <f aca="false">C13+C20+C29</f>
        <v>132</v>
      </c>
      <c r="D31" s="56" t="n">
        <f aca="false">D13+D20+D29</f>
        <v>121</v>
      </c>
      <c r="E31" s="56" t="n">
        <f aca="false">E13+E20+E29</f>
        <v>-166</v>
      </c>
      <c r="F31" s="56" t="n">
        <f aca="false">F13+F20+F29</f>
        <v>91</v>
      </c>
    </row>
    <row r="32" customFormat="false" ht="15" hidden="false" customHeight="false" outlineLevel="0" collapsed="false">
      <c r="A32" s="53" t="s">
        <v>589</v>
      </c>
      <c r="B32" s="54" t="s">
        <v>493</v>
      </c>
      <c r="C32" s="23" t="n">
        <v>561</v>
      </c>
      <c r="D32" s="23" t="n">
        <v>693</v>
      </c>
      <c r="E32" s="23" t="n">
        <v>816</v>
      </c>
      <c r="F32" s="23" t="n">
        <v>650</v>
      </c>
    </row>
    <row r="33" customFormat="false" ht="15" hidden="false" customHeight="false" outlineLevel="0" collapsed="false">
      <c r="A33" s="55" t="s">
        <v>590</v>
      </c>
      <c r="B33" s="54"/>
      <c r="C33" s="56" t="n">
        <f aca="false">C32+C31</f>
        <v>693</v>
      </c>
      <c r="D33" s="56" t="n">
        <f aca="false">D32+D31</f>
        <v>814</v>
      </c>
      <c r="E33" s="56" t="n">
        <f aca="false">E32+E31</f>
        <v>650</v>
      </c>
      <c r="F33" s="56" t="n">
        <f aca="false">F32+F31</f>
        <v>741</v>
      </c>
    </row>
    <row r="35" customFormat="false" ht="15" hidden="false" customHeight="false" outlineLevel="0" collapsed="false">
      <c r="A35" s="53" t="s">
        <v>591</v>
      </c>
      <c r="B35" s="54"/>
      <c r="C35" s="59" t="n">
        <f aca="false">C13+C16</f>
        <v>-21</v>
      </c>
      <c r="D35" s="59" t="n">
        <f aca="false">D13+D16</f>
        <v>467</v>
      </c>
      <c r="E35" s="59" t="n">
        <f aca="false">E13+E16</f>
        <v>-432</v>
      </c>
      <c r="F35" s="59" t="n">
        <f aca="false">F13+F16</f>
        <v>-62</v>
      </c>
    </row>
    <row r="36" customFormat="false" ht="15" hidden="false" customHeight="false" outlineLevel="0" collapsed="false">
      <c r="A36" s="51" t="s">
        <v>592</v>
      </c>
      <c r="B36" s="52"/>
      <c r="C36" s="52"/>
      <c r="D36" s="52"/>
      <c r="E36" s="52"/>
      <c r="F36" s="52"/>
    </row>
    <row r="37" customFormat="false" ht="15" hidden="false" customHeight="false" outlineLevel="0" collapsed="false">
      <c r="A37" s="53" t="s">
        <v>593</v>
      </c>
      <c r="B37" s="54"/>
      <c r="C37" s="24" t="n">
        <f aca="false">Hist_BS!C37</f>
        <v>708</v>
      </c>
      <c r="D37" s="24" t="n">
        <f aca="false">Hist_BS!D37</f>
        <v>852</v>
      </c>
      <c r="E37" s="24" t="n">
        <f aca="false">Hist_BS!E37</f>
        <v>678</v>
      </c>
      <c r="F37" s="24" t="n">
        <f aca="false">Hist_BS!F37</f>
        <v>781</v>
      </c>
    </row>
    <row r="38" customFormat="false" ht="15" hidden="false" customHeight="false" outlineLevel="0" collapsed="false">
      <c r="A38" s="58" t="s">
        <v>594</v>
      </c>
      <c r="B38" s="54"/>
      <c r="C38" s="59" t="n">
        <f aca="false">C33-C37</f>
        <v>-15</v>
      </c>
      <c r="D38" s="59" t="n">
        <f aca="false">D33-D37</f>
        <v>-38</v>
      </c>
      <c r="E38" s="59" t="n">
        <f aca="false">E33-E37</f>
        <v>-28</v>
      </c>
      <c r="F38" s="59" t="n">
        <f aca="false">F33-F37</f>
        <v>-40</v>
      </c>
    </row>
    <row r="39" customFormat="false" ht="15" hidden="false" customHeight="false" outlineLevel="0" collapsed="false">
      <c r="A39" s="58" t="s">
        <v>595</v>
      </c>
      <c r="B39" s="54"/>
      <c r="D39" s="59" t="n">
        <f aca="false">D32-C33</f>
        <v>0</v>
      </c>
      <c r="E39" s="59" t="n">
        <f aca="false">E32-D33</f>
        <v>2</v>
      </c>
      <c r="F39" s="59" t="n">
        <f aca="false">F32-E33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1" min="3" style="0" width="11.5"/>
  </cols>
  <sheetData>
    <row r="1" customFormat="false" ht="17.35" hidden="false" customHeight="false" outlineLevel="0" collapsed="false">
      <c r="A1" s="17" t="s">
        <v>596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8" t="s">
        <v>483</v>
      </c>
    </row>
    <row r="4" customFormat="false" ht="15" hidden="false" customHeight="false" outlineLevel="0" collapsed="false">
      <c r="C4" s="48" t="s">
        <v>484</v>
      </c>
      <c r="G4" s="48" t="s">
        <v>597</v>
      </c>
    </row>
    <row r="5" customFormat="false" ht="15" hidden="false" customHeight="false" outlineLevel="0" collapsed="false">
      <c r="A5" s="49" t="s">
        <v>485</v>
      </c>
      <c r="B5" s="49" t="s">
        <v>486</v>
      </c>
      <c r="C5" s="50" t="s">
        <v>487</v>
      </c>
      <c r="D5" s="50" t="s">
        <v>488</v>
      </c>
      <c r="E5" s="50" t="s">
        <v>489</v>
      </c>
      <c r="F5" s="50" t="s">
        <v>490</v>
      </c>
      <c r="G5" s="60" t="s">
        <v>598</v>
      </c>
      <c r="H5" s="60" t="s">
        <v>599</v>
      </c>
      <c r="I5" s="60" t="s">
        <v>600</v>
      </c>
      <c r="J5" s="60" t="s">
        <v>601</v>
      </c>
      <c r="K5" s="60" t="s">
        <v>602</v>
      </c>
    </row>
    <row r="6" customFormat="false" ht="15" hidden="false" customHeight="false" outlineLevel="0" collapsed="false">
      <c r="A6" s="51" t="s">
        <v>603</v>
      </c>
      <c r="B6" s="52"/>
      <c r="C6" s="52"/>
      <c r="D6" s="52"/>
      <c r="E6" s="52"/>
      <c r="F6" s="52"/>
      <c r="G6" s="52"/>
      <c r="H6" s="52"/>
      <c r="I6" s="52"/>
      <c r="J6" s="52"/>
      <c r="K6" s="52"/>
    </row>
    <row r="7" customFormat="false" ht="15" hidden="false" customHeight="false" outlineLevel="0" collapsed="false">
      <c r="A7" s="53" t="s">
        <v>604</v>
      </c>
      <c r="B7" s="54" t="s">
        <v>605</v>
      </c>
      <c r="C7" s="7" t="s">
        <v>14</v>
      </c>
    </row>
    <row r="8" customFormat="false" ht="15" hidden="false" customHeight="false" outlineLevel="0" collapsed="false">
      <c r="A8" s="53" t="s">
        <v>606</v>
      </c>
      <c r="B8" s="54" t="s">
        <v>607</v>
      </c>
      <c r="C8" s="27" t="n">
        <v>1033</v>
      </c>
    </row>
    <row r="9" customFormat="false" ht="15" hidden="false" customHeight="false" outlineLevel="0" collapsed="false">
      <c r="A9" s="53" t="s">
        <v>608</v>
      </c>
      <c r="B9" s="54" t="s">
        <v>609</v>
      </c>
      <c r="C9" s="27" t="n">
        <v>33.08</v>
      </c>
    </row>
    <row r="10" customFormat="false" ht="15" hidden="false" customHeight="false" outlineLevel="0" collapsed="false">
      <c r="A10" s="51" t="s">
        <v>610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</row>
    <row r="11" customFormat="false" ht="15" hidden="false" customHeight="false" outlineLevel="0" collapsed="false">
      <c r="A11" s="53" t="s">
        <v>611</v>
      </c>
      <c r="B11" s="54" t="s">
        <v>612</v>
      </c>
      <c r="G11" s="61" t="n">
        <v>0.16</v>
      </c>
      <c r="H11" s="61" t="n">
        <v>0.11</v>
      </c>
      <c r="I11" s="61" t="n">
        <v>0.1</v>
      </c>
      <c r="J11" s="61" t="n">
        <v>0.09</v>
      </c>
      <c r="K11" s="61" t="n">
        <v>0.08</v>
      </c>
    </row>
    <row r="12" customFormat="false" ht="15" hidden="false" customHeight="false" outlineLevel="0" collapsed="false">
      <c r="A12" s="53" t="s">
        <v>613</v>
      </c>
      <c r="B12" s="54" t="s">
        <v>612</v>
      </c>
      <c r="F12" s="62" t="n">
        <v>0.16</v>
      </c>
      <c r="G12" s="63" t="n">
        <v>0.16</v>
      </c>
      <c r="H12" s="63" t="n">
        <v>0.165</v>
      </c>
      <c r="I12" s="63" t="n">
        <v>0.168</v>
      </c>
      <c r="J12" s="63" t="n">
        <v>0.17</v>
      </c>
      <c r="K12" s="63" t="n">
        <v>0.174</v>
      </c>
    </row>
    <row r="13" customFormat="false" ht="15" hidden="false" customHeight="false" outlineLevel="0" collapsed="false">
      <c r="A13" s="53" t="s">
        <v>614</v>
      </c>
      <c r="B13" s="54" t="s">
        <v>612</v>
      </c>
      <c r="G13" s="31" t="n">
        <f aca="false">(1+G11)*G12/F12-1</f>
        <v>0.16</v>
      </c>
      <c r="H13" s="31" t="n">
        <f aca="false">(1+H11)*H12/G12-1</f>
        <v>0.1446875</v>
      </c>
      <c r="I13" s="31" t="n">
        <f aca="false">(1+I11)*I12/H12-1</f>
        <v>0.12</v>
      </c>
      <c r="J13" s="31" t="n">
        <f aca="false">(1+J11)*J12/I12-1</f>
        <v>0.102976190476191</v>
      </c>
      <c r="K13" s="31" t="n">
        <f aca="false">(1+K11)*K12/J12-1</f>
        <v>0.105411764705882</v>
      </c>
    </row>
    <row r="14" customFormat="false" ht="15" hidden="false" customHeight="false" outlineLevel="0" collapsed="false">
      <c r="A14" s="53" t="s">
        <v>615</v>
      </c>
      <c r="B14" s="54" t="s">
        <v>612</v>
      </c>
      <c r="G14" s="61" t="n">
        <v>0.06</v>
      </c>
      <c r="H14" s="61" t="n">
        <v>0.035</v>
      </c>
      <c r="I14" s="61" t="n">
        <v>0.03</v>
      </c>
      <c r="J14" s="61" t="n">
        <v>0.025</v>
      </c>
      <c r="K14" s="61" t="n">
        <v>0.025</v>
      </c>
    </row>
    <row r="15" customFormat="false" ht="15" hidden="false" customHeight="false" outlineLevel="0" collapsed="false">
      <c r="A15" s="51" t="s">
        <v>616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</row>
    <row r="16" customFormat="false" ht="15" hidden="false" customHeight="false" outlineLevel="0" collapsed="false">
      <c r="A16" s="53" t="s">
        <v>617</v>
      </c>
      <c r="B16" s="54" t="s">
        <v>612</v>
      </c>
      <c r="G16" s="61" t="n">
        <v>0.06</v>
      </c>
      <c r="H16" s="61" t="n">
        <v>0.055</v>
      </c>
      <c r="I16" s="61" t="n">
        <v>0.05</v>
      </c>
      <c r="J16" s="61" t="n">
        <v>0.045</v>
      </c>
      <c r="K16" s="61" t="n">
        <v>0.045</v>
      </c>
    </row>
    <row r="17" customFormat="false" ht="15" hidden="false" customHeight="false" outlineLevel="0" collapsed="false">
      <c r="A17" s="53" t="s">
        <v>618</v>
      </c>
      <c r="B17" s="54" t="s">
        <v>612</v>
      </c>
      <c r="G17" s="61" t="n">
        <v>0.39</v>
      </c>
      <c r="H17" s="61" t="n">
        <v>0.395</v>
      </c>
      <c r="I17" s="61" t="n">
        <v>0.4</v>
      </c>
      <c r="J17" s="61" t="n">
        <v>0.405</v>
      </c>
      <c r="K17" s="61" t="n">
        <v>0.41</v>
      </c>
    </row>
    <row r="18" customFormat="false" ht="15" hidden="false" customHeight="false" outlineLevel="0" collapsed="false">
      <c r="A18" s="51" t="s">
        <v>619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</row>
    <row r="19" customFormat="false" ht="15" hidden="false" customHeight="false" outlineLevel="0" collapsed="false">
      <c r="A19" s="53" t="s">
        <v>620</v>
      </c>
      <c r="B19" s="54" t="s">
        <v>612</v>
      </c>
      <c r="D19" s="30" t="n">
        <f aca="false">Hist_IS!D9/Hist_IS!C9-1</f>
        <v>0.126436781609195</v>
      </c>
      <c r="E19" s="30" t="n">
        <f aca="false">Hist_IS!E9/Hist_IS!D9-1</f>
        <v>-0.032312925170068</v>
      </c>
      <c r="F19" s="30" t="n">
        <f aca="false">Hist_IS!F9/Hist_IS!E9-1</f>
        <v>0.0527240773286468</v>
      </c>
      <c r="G19" s="61" t="n">
        <v>0.049</v>
      </c>
      <c r="H19" s="61" t="n">
        <v>0.049</v>
      </c>
      <c r="I19" s="61" t="n">
        <v>0.049</v>
      </c>
      <c r="J19" s="61" t="n">
        <v>0.049</v>
      </c>
      <c r="K19" s="61" t="n">
        <v>0.049</v>
      </c>
    </row>
    <row r="20" customFormat="false" ht="15" hidden="false" customHeight="false" outlineLevel="0" collapsed="false">
      <c r="A20" s="51" t="s">
        <v>621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</row>
    <row r="21" customFormat="false" ht="15" hidden="false" customHeight="false" outlineLevel="0" collapsed="false">
      <c r="A21" s="53" t="s">
        <v>622</v>
      </c>
      <c r="B21" s="54" t="s">
        <v>612</v>
      </c>
      <c r="C21" s="30" t="n">
        <f aca="false">(Hist_IS!C14+Hist_IS!C15+Hist_IS!C16)/Hist_IS!C12</f>
        <v>0.776713338246131</v>
      </c>
      <c r="D21" s="30" t="n">
        <f aca="false">(Hist_IS!D14+Hist_IS!D15+Hist_IS!D16)/Hist_IS!D12</f>
        <v>0.786315199102636</v>
      </c>
      <c r="E21" s="30" t="n">
        <f aca="false">(Hist_IS!E14+Hist_IS!E15+Hist_IS!E16)/Hist_IS!E12</f>
        <v>0.775968338415623</v>
      </c>
      <c r="F21" s="30" t="n">
        <f aca="false">(Hist_IS!F14+Hist_IS!F15+Hist_IS!F16)/Hist_IS!F12</f>
        <v>0.777044577044577</v>
      </c>
      <c r="G21" s="61" t="n">
        <v>0.777</v>
      </c>
      <c r="H21" s="61" t="n">
        <v>0.776</v>
      </c>
      <c r="I21" s="61" t="n">
        <v>0.775</v>
      </c>
      <c r="J21" s="61" t="n">
        <v>0.775</v>
      </c>
      <c r="K21" s="61" t="n">
        <v>0.774</v>
      </c>
    </row>
    <row r="22" customFormat="false" ht="15" hidden="false" customHeight="false" outlineLevel="0" collapsed="false">
      <c r="A22" s="53" t="s">
        <v>526</v>
      </c>
      <c r="B22" s="54" t="s">
        <v>612</v>
      </c>
      <c r="C22" s="30" t="n">
        <f aca="false">Hist_IS!C17/Hist_IS!C12</f>
        <v>0.0702179176755448</v>
      </c>
      <c r="D22" s="30" t="n">
        <f aca="false">Hist_IS!D17/Hist_IS!D12</f>
        <v>0.062414870603317</v>
      </c>
      <c r="E22" s="30" t="n">
        <f aca="false">Hist_IS!E17/Hist_IS!E12</f>
        <v>0.0577434633101927</v>
      </c>
      <c r="F22" s="30" t="n">
        <f aca="false">Hist_IS!F17/Hist_IS!F12</f>
        <v>0.0659178659178659</v>
      </c>
      <c r="G22" s="61" t="n">
        <v>0.06</v>
      </c>
      <c r="H22" s="61" t="n">
        <v>0.06</v>
      </c>
      <c r="I22" s="61" t="n">
        <v>0.06</v>
      </c>
      <c r="J22" s="61" t="n">
        <v>0.06</v>
      </c>
      <c r="K22" s="61" t="n">
        <v>0.06</v>
      </c>
    </row>
    <row r="23" customFormat="false" ht="15" hidden="false" customHeight="false" outlineLevel="0" collapsed="false">
      <c r="A23" s="53" t="s">
        <v>623</v>
      </c>
      <c r="B23" s="54" t="s">
        <v>612</v>
      </c>
      <c r="C23" s="30" t="n">
        <f aca="false">Hist_IS!C19/Hist_IS!C12</f>
        <v>0.0927466049057796</v>
      </c>
      <c r="D23" s="30" t="n">
        <f aca="false">Hist_IS!D19/Hist_IS!D12</f>
        <v>0.113292204150308</v>
      </c>
      <c r="E23" s="30" t="n">
        <f aca="false">Hist_IS!E19/Hist_IS!E12</f>
        <v>0.0938169078050996</v>
      </c>
      <c r="F23" s="30" t="n">
        <f aca="false">Hist_IS!F19/Hist_IS!F12</f>
        <v>0.111547911547912</v>
      </c>
      <c r="G23" s="61" t="n">
        <v>0.1</v>
      </c>
      <c r="H23" s="61" t="n">
        <v>0.095</v>
      </c>
      <c r="I23" s="61" t="n">
        <v>0.093</v>
      </c>
      <c r="J23" s="61" t="n">
        <v>0.093</v>
      </c>
      <c r="K23" s="61" t="n">
        <v>0.093</v>
      </c>
    </row>
    <row r="24" customFormat="false" ht="15" hidden="false" customHeight="false" outlineLevel="0" collapsed="false">
      <c r="A24" s="53" t="s">
        <v>624</v>
      </c>
      <c r="B24" s="54" t="s">
        <v>612</v>
      </c>
      <c r="C24" s="30" t="n">
        <f aca="false">Cost_Schedule!C19</f>
        <v>0.0603221391725445</v>
      </c>
      <c r="D24" s="30" t="n">
        <f aca="false">Cost_Schedule!D19</f>
        <v>0.0379777261437385</v>
      </c>
      <c r="E24" s="30" t="n">
        <f aca="false">Cost_Schedule!E19</f>
        <v>0.0724712904690845</v>
      </c>
      <c r="F24" s="30" t="n">
        <f aca="false">Cost_Schedule!F19</f>
        <v>0.0454896454896455</v>
      </c>
      <c r="G24" s="30" t="n">
        <f aca="false">Cost_Schedule!G19</f>
        <v>0.063</v>
      </c>
      <c r="H24" s="30" t="n">
        <f aca="false">Cost_Schedule!H19</f>
        <v>0.069</v>
      </c>
      <c r="I24" s="30" t="n">
        <f aca="false">Cost_Schedule!I19</f>
        <v>0.072</v>
      </c>
      <c r="J24" s="30" t="n">
        <f aca="false">Cost_Schedule!J19</f>
        <v>0.0719999999999999</v>
      </c>
      <c r="K24" s="30" t="n">
        <f aca="false">Cost_Schedule!K19</f>
        <v>0.0729999999999999</v>
      </c>
    </row>
    <row r="25" customFormat="false" ht="15" hidden="false" customHeight="false" outlineLevel="0" collapsed="false">
      <c r="A25" s="53" t="s">
        <v>517</v>
      </c>
      <c r="B25" s="54" t="s">
        <v>612</v>
      </c>
      <c r="G25" s="61" t="n">
        <v>0.3</v>
      </c>
      <c r="H25" s="61" t="n">
        <v>0.3</v>
      </c>
      <c r="I25" s="61" t="n">
        <v>0.3</v>
      </c>
      <c r="J25" s="61" t="n">
        <v>0.3</v>
      </c>
      <c r="K25" s="61" t="n">
        <v>0.3</v>
      </c>
    </row>
    <row r="26" customFormat="false" ht="15" hidden="false" customHeight="false" outlineLevel="0" collapsed="false">
      <c r="A26" s="51" t="s">
        <v>625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</row>
    <row r="27" customFormat="false" ht="15" hidden="false" customHeight="false" outlineLevel="0" collapsed="false">
      <c r="A27" s="53" t="s">
        <v>626</v>
      </c>
      <c r="B27" s="54" t="s">
        <v>627</v>
      </c>
      <c r="G27" s="64" t="n">
        <v>71</v>
      </c>
      <c r="H27" s="64" t="n">
        <v>77</v>
      </c>
      <c r="I27" s="64" t="n">
        <v>76</v>
      </c>
      <c r="J27" s="64" t="n">
        <v>77</v>
      </c>
      <c r="K27" s="64" t="n">
        <v>76</v>
      </c>
    </row>
    <row r="28" customFormat="false" ht="15" hidden="false" customHeight="false" outlineLevel="0" collapsed="false">
      <c r="A28" s="53" t="s">
        <v>628</v>
      </c>
      <c r="B28" s="54" t="s">
        <v>627</v>
      </c>
      <c r="G28" s="64" t="n">
        <v>102</v>
      </c>
      <c r="H28" s="64" t="n">
        <v>97</v>
      </c>
      <c r="I28" s="64" t="n">
        <v>95</v>
      </c>
      <c r="J28" s="64" t="n">
        <v>97</v>
      </c>
      <c r="K28" s="64" t="n">
        <v>94</v>
      </c>
    </row>
    <row r="29" customFormat="false" ht="15" hidden="false" customHeight="false" outlineLevel="0" collapsed="false">
      <c r="A29" s="53" t="s">
        <v>629</v>
      </c>
      <c r="B29" s="54" t="s">
        <v>627</v>
      </c>
      <c r="G29" s="64" t="n">
        <v>158</v>
      </c>
      <c r="H29" s="64" t="n">
        <v>153</v>
      </c>
      <c r="I29" s="64" t="n">
        <v>153</v>
      </c>
      <c r="J29" s="64" t="n">
        <v>150</v>
      </c>
      <c r="K29" s="64" t="n">
        <v>150</v>
      </c>
    </row>
    <row r="30" customFormat="false" ht="15" hidden="false" customHeight="false" outlineLevel="0" collapsed="false">
      <c r="A30" s="53" t="s">
        <v>630</v>
      </c>
      <c r="B30" s="54" t="s">
        <v>627</v>
      </c>
      <c r="G30" s="64" t="n">
        <v>67</v>
      </c>
      <c r="H30" s="64" t="n">
        <v>63</v>
      </c>
      <c r="I30" s="64" t="n">
        <v>61</v>
      </c>
      <c r="J30" s="64" t="n">
        <v>61</v>
      </c>
      <c r="K30" s="64" t="n">
        <v>60</v>
      </c>
    </row>
    <row r="31" customFormat="false" ht="15" hidden="false" customHeight="false" outlineLevel="0" collapsed="false">
      <c r="A31" s="58" t="s">
        <v>631</v>
      </c>
      <c r="B31" s="54" t="s">
        <v>627</v>
      </c>
      <c r="G31" s="64" t="n">
        <v>25</v>
      </c>
      <c r="H31" s="64" t="n">
        <v>25</v>
      </c>
      <c r="I31" s="64" t="n">
        <v>25</v>
      </c>
      <c r="J31" s="64" t="n">
        <v>25</v>
      </c>
      <c r="K31" s="64" t="n">
        <v>25</v>
      </c>
    </row>
    <row r="32" customFormat="false" ht="15" hidden="false" customHeight="false" outlineLevel="0" collapsed="false">
      <c r="A32" s="53" t="s">
        <v>632</v>
      </c>
      <c r="B32" s="54" t="s">
        <v>627</v>
      </c>
      <c r="G32" s="64" t="n">
        <v>40</v>
      </c>
      <c r="H32" s="64" t="n">
        <v>40</v>
      </c>
      <c r="I32" s="64" t="n">
        <v>40</v>
      </c>
      <c r="J32" s="64" t="n">
        <v>40</v>
      </c>
      <c r="K32" s="64" t="n">
        <v>40</v>
      </c>
    </row>
    <row r="33" customFormat="false" ht="15" hidden="false" customHeight="false" outlineLevel="0" collapsed="false">
      <c r="A33" s="51" t="s">
        <v>633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</row>
    <row r="34" customFormat="false" ht="15" hidden="false" customHeight="false" outlineLevel="0" collapsed="false">
      <c r="A34" s="53" t="s">
        <v>634</v>
      </c>
      <c r="B34" s="54" t="s">
        <v>612</v>
      </c>
      <c r="G34" s="61" t="n">
        <v>0.15</v>
      </c>
      <c r="H34" s="61" t="n">
        <v>0.15</v>
      </c>
      <c r="I34" s="61" t="n">
        <v>0.15</v>
      </c>
      <c r="J34" s="61" t="n">
        <v>0.15</v>
      </c>
      <c r="K34" s="61" t="n">
        <v>0.15</v>
      </c>
    </row>
    <row r="35" customFormat="false" ht="15" hidden="false" customHeight="false" outlineLevel="0" collapsed="false">
      <c r="A35" s="53" t="s">
        <v>635</v>
      </c>
      <c r="B35" s="54" t="s">
        <v>612</v>
      </c>
      <c r="C35" s="30" t="n">
        <f aca="false">Hist_BS!C18/(Hist_BS!C36+Hist_BS!C35)</f>
        <v>0.157241014799154</v>
      </c>
      <c r="D35" s="30" t="n">
        <f aca="false">Hist_BS!D18/(Hist_BS!D36+Hist_BS!D35)</f>
        <v>0.103898886032562</v>
      </c>
      <c r="E35" s="30" t="n">
        <f aca="false">Hist_BS!E18/(Hist_BS!E36+Hist_BS!E35)</f>
        <v>0.0920398009950249</v>
      </c>
      <c r="F35" s="30" t="n">
        <f aca="false">Hist_BS!F18/(Hist_BS!F36+Hist_BS!F35)</f>
        <v>0.0913729128014842</v>
      </c>
      <c r="G35" s="61" t="n">
        <v>0.095</v>
      </c>
      <c r="H35" s="61" t="n">
        <v>0.093</v>
      </c>
      <c r="I35" s="61" t="n">
        <v>0.093</v>
      </c>
      <c r="J35" s="61" t="n">
        <v>0.093</v>
      </c>
      <c r="K35" s="61" t="n">
        <v>0.093</v>
      </c>
    </row>
    <row r="36" customFormat="false" ht="15" hidden="false" customHeight="false" outlineLevel="0" collapsed="false">
      <c r="A36" s="53" t="s">
        <v>636</v>
      </c>
      <c r="B36" s="54" t="s">
        <v>612</v>
      </c>
      <c r="G36" s="61" t="n">
        <v>0.07</v>
      </c>
      <c r="H36" s="61" t="n">
        <v>0.072</v>
      </c>
      <c r="I36" s="61" t="n">
        <v>0.069</v>
      </c>
      <c r="J36" s="61" t="n">
        <v>0.067</v>
      </c>
      <c r="K36" s="61" t="n">
        <v>0.067</v>
      </c>
    </row>
    <row r="37" customFormat="false" ht="15" hidden="false" customHeight="false" outlineLevel="0" collapsed="false">
      <c r="A37" s="53" t="s">
        <v>637</v>
      </c>
      <c r="B37" s="54" t="s">
        <v>612</v>
      </c>
      <c r="G37" s="61" t="n">
        <v>0.079</v>
      </c>
      <c r="H37" s="61" t="n">
        <v>0.08</v>
      </c>
      <c r="I37" s="61" t="n">
        <v>0.077</v>
      </c>
      <c r="J37" s="61" t="n">
        <v>0.075</v>
      </c>
      <c r="K37" s="61" t="n">
        <v>0.075</v>
      </c>
    </row>
    <row r="38" customFormat="false" ht="15" hidden="false" customHeight="false" outlineLevel="0" collapsed="false">
      <c r="A38" s="53" t="s">
        <v>638</v>
      </c>
      <c r="B38" s="54" t="s">
        <v>612</v>
      </c>
      <c r="C38" s="65" t="n">
        <f aca="false">Hist_IS!C26/Hist_IS!C12</f>
        <v>0.00315822718180861</v>
      </c>
      <c r="D38" s="65" t="n">
        <f aca="false">Hist_IS!D26/Hist_IS!D12</f>
        <v>0.00448681996634885</v>
      </c>
      <c r="E38" s="65" t="n">
        <f aca="false">Hist_IS!E26/Hist_IS!E12</f>
        <v>0.00402257834295724</v>
      </c>
      <c r="F38" s="65" t="n">
        <f aca="false">Hist_IS!F26/Hist_IS!F12</f>
        <v>0.00610740610740611</v>
      </c>
      <c r="G38" s="63" t="n">
        <v>0.0061</v>
      </c>
      <c r="H38" s="63" t="n">
        <v>0.0055</v>
      </c>
      <c r="I38" s="63" t="n">
        <v>0.005</v>
      </c>
      <c r="J38" s="63" t="n">
        <v>0.005</v>
      </c>
      <c r="K38" s="63" t="n">
        <v>0.005</v>
      </c>
    </row>
    <row r="39" customFormat="false" ht="15" hidden="false" customHeight="false" outlineLevel="0" collapsed="false">
      <c r="A39" s="53" t="s">
        <v>639</v>
      </c>
      <c r="B39" s="54" t="s">
        <v>612</v>
      </c>
      <c r="C39" s="65" t="n">
        <f aca="false">Hist_IS!C27/Hist_IS!C12</f>
        <v>0.0176860722181282</v>
      </c>
      <c r="D39" s="65" t="n">
        <f aca="false">Hist_IS!D27/Hist_IS!D12</f>
        <v>0.0202708116336832</v>
      </c>
      <c r="E39" s="65" t="n">
        <f aca="false">Hist_IS!E27/Hist_IS!E12</f>
        <v>0.0210212158567443</v>
      </c>
      <c r="F39" s="65" t="n">
        <f aca="false">Hist_IS!F27/Hist_IS!F12</f>
        <v>0.0167076167076167</v>
      </c>
      <c r="G39" s="63" t="n">
        <v>0.02</v>
      </c>
      <c r="H39" s="63" t="n">
        <v>0.018</v>
      </c>
      <c r="I39" s="63" t="n">
        <v>0.02</v>
      </c>
      <c r="J39" s="63" t="n">
        <v>0.0187</v>
      </c>
      <c r="K39" s="63" t="n">
        <v>0.02</v>
      </c>
    </row>
    <row r="40" customFormat="false" ht="15" hidden="false" customHeight="false" outlineLevel="0" collapsed="false">
      <c r="A40" s="51" t="s">
        <v>640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</row>
    <row r="41" customFormat="false" ht="15" hidden="false" customHeight="false" outlineLevel="0" collapsed="false">
      <c r="A41" s="53" t="s">
        <v>641</v>
      </c>
      <c r="B41" s="54" t="s">
        <v>607</v>
      </c>
      <c r="G41" s="66" t="n">
        <v>4</v>
      </c>
      <c r="H41" s="66" t="n">
        <v>4</v>
      </c>
      <c r="I41" s="66" t="n">
        <v>4</v>
      </c>
      <c r="J41" s="66" t="n">
        <v>4</v>
      </c>
      <c r="K41" s="66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1" min="3" style="0" width="11.5"/>
  </cols>
  <sheetData>
    <row r="1" customFormat="false" ht="17.35" hidden="false" customHeight="false" outlineLevel="0" collapsed="false">
      <c r="A1" s="17" t="s">
        <v>642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8" t="s">
        <v>483</v>
      </c>
    </row>
    <row r="4" customFormat="false" ht="15" hidden="false" customHeight="false" outlineLevel="0" collapsed="false">
      <c r="C4" s="48" t="s">
        <v>484</v>
      </c>
      <c r="G4" s="48" t="s">
        <v>597</v>
      </c>
    </row>
    <row r="5" customFormat="false" ht="15" hidden="false" customHeight="false" outlineLevel="0" collapsed="false">
      <c r="A5" s="49" t="s">
        <v>485</v>
      </c>
      <c r="B5" s="49" t="s">
        <v>486</v>
      </c>
      <c r="C5" s="50" t="s">
        <v>487</v>
      </c>
      <c r="D5" s="50" t="s">
        <v>488</v>
      </c>
      <c r="E5" s="50" t="s">
        <v>489</v>
      </c>
      <c r="F5" s="50" t="s">
        <v>490</v>
      </c>
      <c r="G5" s="60" t="s">
        <v>598</v>
      </c>
      <c r="H5" s="60" t="s">
        <v>599</v>
      </c>
      <c r="I5" s="60" t="s">
        <v>600</v>
      </c>
      <c r="J5" s="60" t="s">
        <v>601</v>
      </c>
      <c r="K5" s="60" t="s">
        <v>602</v>
      </c>
    </row>
    <row r="6" customFormat="false" ht="15" hidden="false" customHeight="false" outlineLevel="0" collapsed="false">
      <c r="A6" s="51" t="s">
        <v>643</v>
      </c>
      <c r="B6" s="52"/>
      <c r="C6" s="52"/>
      <c r="D6" s="52"/>
      <c r="E6" s="52"/>
      <c r="F6" s="52"/>
      <c r="G6" s="52"/>
      <c r="H6" s="52"/>
      <c r="I6" s="52"/>
      <c r="J6" s="52"/>
      <c r="K6" s="52"/>
    </row>
    <row r="7" customFormat="false" ht="15" hidden="false" customHeight="false" outlineLevel="0" collapsed="false">
      <c r="A7" s="53" t="s">
        <v>644</v>
      </c>
      <c r="B7" s="54"/>
      <c r="G7" s="30" t="n">
        <f aca="false">Assumptions!G13</f>
        <v>0.16</v>
      </c>
      <c r="H7" s="30" t="n">
        <f aca="false">Assumptions!H13</f>
        <v>0.1446875</v>
      </c>
      <c r="I7" s="30" t="n">
        <f aca="false">Assumptions!I13</f>
        <v>0.12</v>
      </c>
      <c r="J7" s="30" t="n">
        <f aca="false">Assumptions!J13</f>
        <v>0.102976190476191</v>
      </c>
      <c r="K7" s="30" t="n">
        <f aca="false">Assumptions!K13</f>
        <v>0.105411764705882</v>
      </c>
    </row>
    <row r="8" customFormat="false" ht="15" hidden="false" customHeight="false" outlineLevel="0" collapsed="false">
      <c r="A8" s="53" t="s">
        <v>645</v>
      </c>
      <c r="B8" s="54"/>
      <c r="G8" s="30" t="n">
        <f aca="false">Assumptions!G14</f>
        <v>0.06</v>
      </c>
      <c r="H8" s="30" t="n">
        <f aca="false">Assumptions!H14</f>
        <v>0.035</v>
      </c>
      <c r="I8" s="30" t="n">
        <f aca="false">Assumptions!I14</f>
        <v>0.03</v>
      </c>
      <c r="J8" s="30" t="n">
        <f aca="false">Assumptions!J14</f>
        <v>0.025</v>
      </c>
      <c r="K8" s="30" t="n">
        <f aca="false">Assumptions!K14</f>
        <v>0.025</v>
      </c>
    </row>
    <row r="9" customFormat="false" ht="15" hidden="false" customHeight="false" outlineLevel="0" collapsed="false">
      <c r="A9" s="55" t="s">
        <v>646</v>
      </c>
      <c r="B9" s="54"/>
      <c r="C9" s="67" t="n">
        <f aca="false">Hist_IS!C7</f>
        <v>6475</v>
      </c>
      <c r="D9" s="67" t="n">
        <f aca="false">Hist_IS!D7</f>
        <v>8160</v>
      </c>
      <c r="E9" s="67" t="n">
        <f aca="false">Hist_IS!E7</f>
        <v>10614</v>
      </c>
      <c r="F9" s="67" t="n">
        <f aca="false">Hist_IS!F7</f>
        <v>9501</v>
      </c>
      <c r="G9" s="56" t="n">
        <f aca="false">F9*(1+G7)*(1+G8)</f>
        <v>11682.4296</v>
      </c>
      <c r="H9" s="56" t="n">
        <f aca="false">G9*(1+H7)*(1+H8)</f>
        <v>13840.7767223963</v>
      </c>
      <c r="I9" s="56" t="n">
        <f aca="false">H9*(1+I7)*(1+I8)</f>
        <v>15966.7200269563</v>
      </c>
      <c r="J9" s="56" t="n">
        <f aca="false">I9*(1+J7)*(1+J8)</f>
        <v>18051.1848304755</v>
      </c>
      <c r="K9" s="56" t="n">
        <f aca="false">J9*(1+K7)*(1+K8)</f>
        <v>20452.8418804502</v>
      </c>
    </row>
    <row r="10" customFormat="false" ht="15" hidden="false" customHeight="false" outlineLevel="0" collapsed="false">
      <c r="A10" s="51" t="s">
        <v>647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</row>
    <row r="11" customFormat="false" ht="15" hidden="false" customHeight="false" outlineLevel="0" collapsed="false">
      <c r="A11" s="53" t="s">
        <v>648</v>
      </c>
      <c r="B11" s="54"/>
      <c r="G11" s="59" t="n">
        <f aca="false">F15</f>
        <v>6200</v>
      </c>
      <c r="H11" s="59" t="n">
        <f aca="false">G15</f>
        <v>6497.72</v>
      </c>
      <c r="I11" s="59" t="n">
        <f aca="false">H15</f>
        <v>6772.7209</v>
      </c>
      <c r="J11" s="59" t="n">
        <f aca="false">I15</f>
        <v>7022.65434</v>
      </c>
      <c r="K11" s="59" t="n">
        <f aca="false">J15</f>
        <v>7244.888965125</v>
      </c>
    </row>
    <row r="12" customFormat="false" ht="15" hidden="false" customHeight="false" outlineLevel="0" collapsed="false">
      <c r="A12" s="53" t="s">
        <v>649</v>
      </c>
      <c r="B12" s="54"/>
      <c r="F12" s="23" t="n">
        <v>4200</v>
      </c>
      <c r="G12" s="24" t="n">
        <f aca="false">F12*(1+Assumptions!G16)</f>
        <v>4452</v>
      </c>
      <c r="H12" s="24" t="n">
        <f aca="false">G12*(1+Assumptions!H16)</f>
        <v>4696.86</v>
      </c>
      <c r="I12" s="24" t="n">
        <f aca="false">H12*(1+Assumptions!I16)</f>
        <v>4931.703</v>
      </c>
      <c r="J12" s="24" t="n">
        <f aca="false">I12*(1+Assumptions!J16)</f>
        <v>5153.629635</v>
      </c>
      <c r="K12" s="24" t="n">
        <f aca="false">J12*(1+Assumptions!K16)</f>
        <v>5385.542968575</v>
      </c>
    </row>
    <row r="13" customFormat="false" ht="15" hidden="false" customHeight="false" outlineLevel="0" collapsed="false">
      <c r="A13" s="53" t="s">
        <v>650</v>
      </c>
      <c r="B13" s="54"/>
      <c r="C13" s="29" t="n">
        <v>0.245</v>
      </c>
      <c r="D13" s="29" t="n">
        <v>0.314</v>
      </c>
      <c r="E13" s="29" t="n">
        <v>0.39</v>
      </c>
      <c r="F13" s="29" t="n">
        <v>0.395</v>
      </c>
      <c r="G13" s="30" t="n">
        <f aca="false">Assumptions!G17</f>
        <v>0.39</v>
      </c>
      <c r="H13" s="30" t="n">
        <f aca="false">Assumptions!H17</f>
        <v>0.395</v>
      </c>
      <c r="I13" s="30" t="n">
        <f aca="false">Assumptions!I17</f>
        <v>0.4</v>
      </c>
      <c r="J13" s="30" t="n">
        <f aca="false">Assumptions!J17</f>
        <v>0.405</v>
      </c>
      <c r="K13" s="30" t="n">
        <f aca="false">Assumptions!K17</f>
        <v>0.41</v>
      </c>
    </row>
    <row r="14" customFormat="false" ht="15" hidden="false" customHeight="false" outlineLevel="0" collapsed="false">
      <c r="A14" s="55" t="s">
        <v>651</v>
      </c>
      <c r="B14" s="54"/>
      <c r="C14" s="67" t="n">
        <f aca="false">Hist_IS!C8</f>
        <v>2403</v>
      </c>
      <c r="D14" s="67" t="n">
        <f aca="false">Hist_IS!D8</f>
        <v>3683</v>
      </c>
      <c r="E14" s="67" t="n">
        <f aca="false">Hist_IS!E8</f>
        <v>4157</v>
      </c>
      <c r="F14" s="67" t="n">
        <f aca="false">Hist_IS!F8</f>
        <v>4053</v>
      </c>
      <c r="G14" s="56" t="n">
        <f aca="false">G13*(G11+G12)</f>
        <v>4154.28</v>
      </c>
      <c r="H14" s="56" t="n">
        <f aca="false">H13*(H11+H12)</f>
        <v>4421.8591</v>
      </c>
      <c r="I14" s="56" t="n">
        <f aca="false">I13*(I11+I12)</f>
        <v>4681.76956</v>
      </c>
      <c r="J14" s="56" t="n">
        <f aca="false">J13*(J11+J12)</f>
        <v>4931.395009875</v>
      </c>
      <c r="K14" s="56" t="n">
        <f aca="false">K13*(K11+K12)</f>
        <v>5178.477092817</v>
      </c>
    </row>
    <row r="15" customFormat="false" ht="15" hidden="false" customHeight="false" outlineLevel="0" collapsed="false">
      <c r="A15" s="53" t="s">
        <v>652</v>
      </c>
      <c r="B15" s="54"/>
      <c r="C15" s="23" t="n">
        <v>7414</v>
      </c>
      <c r="D15" s="23" t="n">
        <v>8054</v>
      </c>
      <c r="E15" s="23" t="n">
        <v>6500</v>
      </c>
      <c r="F15" s="23" t="n">
        <v>6200</v>
      </c>
      <c r="G15" s="59" t="n">
        <f aca="false">G11+G12-G14</f>
        <v>6497.72</v>
      </c>
      <c r="H15" s="59" t="n">
        <f aca="false">H11+H12-H14</f>
        <v>6772.7209</v>
      </c>
      <c r="I15" s="59" t="n">
        <f aca="false">I11+I12-I14</f>
        <v>7022.65434</v>
      </c>
      <c r="J15" s="59" t="n">
        <f aca="false">J11+J12-J14</f>
        <v>7244.888965125</v>
      </c>
      <c r="K15" s="59" t="n">
        <f aca="false">K11+K12-K14</f>
        <v>7451.954840883</v>
      </c>
    </row>
    <row r="16" customFormat="false" ht="15" hidden="false" customHeight="false" outlineLevel="0" collapsed="false">
      <c r="A16" s="58" t="s">
        <v>653</v>
      </c>
      <c r="B16" s="54"/>
      <c r="F16" s="31" t="n">
        <f aca="false">F14/(E15+F12)</f>
        <v>0.378785046728972</v>
      </c>
    </row>
    <row r="17" customFormat="false" ht="15" hidden="false" customHeight="false" outlineLevel="0" collapsed="false">
      <c r="A17" s="58" t="s">
        <v>654</v>
      </c>
      <c r="B17" s="54"/>
      <c r="F17" s="59" t="n">
        <f aca="false">E15+F12-F14-F15</f>
        <v>447</v>
      </c>
    </row>
    <row r="18" customFormat="false" ht="15" hidden="false" customHeight="false" outlineLevel="0" collapsed="false">
      <c r="A18" s="51" t="s">
        <v>655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</row>
    <row r="19" customFormat="false" ht="15" hidden="false" customHeight="false" outlineLevel="0" collapsed="false">
      <c r="A19" s="53" t="s">
        <v>656</v>
      </c>
      <c r="B19" s="54"/>
      <c r="D19" s="31" t="n">
        <f aca="false">D20/C20-1</f>
        <v>0.126436781609195</v>
      </c>
      <c r="E19" s="31" t="n">
        <f aca="false">E20/D20-1</f>
        <v>-0.032312925170068</v>
      </c>
      <c r="F19" s="31" t="n">
        <f aca="false">F20/E20-1</f>
        <v>0.0527240773286468</v>
      </c>
      <c r="G19" s="30" t="n">
        <f aca="false">Assumptions!G19</f>
        <v>0.049</v>
      </c>
      <c r="H19" s="30" t="n">
        <f aca="false">Assumptions!H19</f>
        <v>0.049</v>
      </c>
      <c r="I19" s="30" t="n">
        <f aca="false">Assumptions!I19</f>
        <v>0.049</v>
      </c>
      <c r="J19" s="30" t="n">
        <f aca="false">Assumptions!J19</f>
        <v>0.049</v>
      </c>
      <c r="K19" s="30" t="n">
        <f aca="false">Assumptions!K19</f>
        <v>0.049</v>
      </c>
    </row>
    <row r="20" customFormat="false" ht="15" hidden="false" customHeight="false" outlineLevel="0" collapsed="false">
      <c r="A20" s="55" t="s">
        <v>657</v>
      </c>
      <c r="B20" s="54"/>
      <c r="C20" s="67" t="n">
        <f aca="false">Hist_IS!C9</f>
        <v>522</v>
      </c>
      <c r="D20" s="67" t="n">
        <f aca="false">Hist_IS!D9</f>
        <v>588</v>
      </c>
      <c r="E20" s="67" t="n">
        <f aca="false">Hist_IS!E9</f>
        <v>569</v>
      </c>
      <c r="F20" s="67" t="n">
        <f aca="false">Hist_IS!F9</f>
        <v>599</v>
      </c>
      <c r="G20" s="56" t="n">
        <f aca="false">F20*(1+G19)</f>
        <v>628.351</v>
      </c>
      <c r="H20" s="56" t="n">
        <f aca="false">G20*(1+H19)</f>
        <v>659.140199</v>
      </c>
      <c r="I20" s="56" t="n">
        <f aca="false">H20*(1+I19)</f>
        <v>691.438068751</v>
      </c>
      <c r="J20" s="56" t="n">
        <f aca="false">I20*(1+J19)</f>
        <v>725.318534119799</v>
      </c>
      <c r="K20" s="56" t="n">
        <f aca="false">J20*(1+K19)</f>
        <v>760.859142291669</v>
      </c>
    </row>
    <row r="22" customFormat="false" ht="15" hidden="false" customHeight="false" outlineLevel="0" collapsed="false">
      <c r="A22" s="5" t="s">
        <v>658</v>
      </c>
      <c r="B22" s="54"/>
      <c r="C22" s="68" t="n">
        <f aca="false">Hist_IS!C11</f>
        <v>99</v>
      </c>
      <c r="D22" s="68" t="n">
        <f aca="false">Hist_IS!D11</f>
        <v>50</v>
      </c>
      <c r="E22" s="68" t="n">
        <f aca="false">Hist_IS!E11</f>
        <v>73</v>
      </c>
      <c r="F22" s="68" t="n">
        <f aca="false">Hist_IS!F11</f>
        <v>92</v>
      </c>
      <c r="G22" s="69" t="n">
        <f aca="false">F22</f>
        <v>92</v>
      </c>
      <c r="H22" s="69" t="n">
        <f aca="false">G22</f>
        <v>92</v>
      </c>
      <c r="I22" s="69" t="n">
        <f aca="false">H22</f>
        <v>92</v>
      </c>
      <c r="J22" s="69" t="n">
        <f aca="false">I22</f>
        <v>92</v>
      </c>
      <c r="K22" s="69" t="n">
        <f aca="false">J22</f>
        <v>92</v>
      </c>
    </row>
    <row r="24" customFormat="false" ht="15" hidden="false" customHeight="false" outlineLevel="0" collapsed="false">
      <c r="A24" s="55" t="s">
        <v>659</v>
      </c>
      <c r="B24" s="54"/>
      <c r="C24" s="56" t="n">
        <f aca="false">C9+C14+C20+C22</f>
        <v>9499</v>
      </c>
      <c r="D24" s="56" t="n">
        <f aca="false">D9+D14+D20+D22</f>
        <v>12481</v>
      </c>
      <c r="E24" s="56" t="n">
        <f aca="false">E9+E14+E20+E22</f>
        <v>15413</v>
      </c>
      <c r="F24" s="56" t="n">
        <f aca="false">F9+F14+F20+F22</f>
        <v>14245</v>
      </c>
      <c r="G24" s="56" t="n">
        <f aca="false">G9+G14+G20+G22</f>
        <v>16557.0606</v>
      </c>
      <c r="H24" s="56" t="n">
        <f aca="false">H9+H14+H20+H22</f>
        <v>19013.7760213963</v>
      </c>
      <c r="I24" s="56" t="n">
        <f aca="false">I9+I14+I20+I22</f>
        <v>21431.9276557073</v>
      </c>
      <c r="J24" s="56" t="n">
        <f aca="false">J9+J14+J20+J22</f>
        <v>23799.8983744703</v>
      </c>
      <c r="K24" s="56" t="n">
        <f aca="false">K9+K14+K20+K22</f>
        <v>26484.1781155588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1" min="3" style="0" width="11.5"/>
  </cols>
  <sheetData>
    <row r="1" customFormat="false" ht="17.35" hidden="false" customHeight="false" outlineLevel="0" collapsed="false">
      <c r="A1" s="17" t="s">
        <v>660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8" t="s">
        <v>483</v>
      </c>
    </row>
    <row r="4" customFormat="false" ht="15" hidden="false" customHeight="false" outlineLevel="0" collapsed="false">
      <c r="C4" s="48" t="s">
        <v>484</v>
      </c>
      <c r="G4" s="48" t="s">
        <v>597</v>
      </c>
    </row>
    <row r="5" customFormat="false" ht="15" hidden="false" customHeight="false" outlineLevel="0" collapsed="false">
      <c r="A5" s="49" t="s">
        <v>485</v>
      </c>
      <c r="B5" s="49" t="s">
        <v>486</v>
      </c>
      <c r="C5" s="50" t="s">
        <v>487</v>
      </c>
      <c r="D5" s="50" t="s">
        <v>488</v>
      </c>
      <c r="E5" s="50" t="s">
        <v>489</v>
      </c>
      <c r="F5" s="50" t="s">
        <v>490</v>
      </c>
      <c r="G5" s="60" t="s">
        <v>598</v>
      </c>
      <c r="H5" s="60" t="s">
        <v>599</v>
      </c>
      <c r="I5" s="60" t="s">
        <v>600</v>
      </c>
      <c r="J5" s="60" t="s">
        <v>601</v>
      </c>
      <c r="K5" s="60" t="s">
        <v>602</v>
      </c>
    </row>
    <row r="6" customFormat="false" ht="15" hidden="false" customHeight="false" outlineLevel="0" collapsed="false">
      <c r="A6" s="5" t="s">
        <v>661</v>
      </c>
      <c r="B6" s="54"/>
      <c r="C6" s="68" t="n">
        <f aca="false">Revenue_Build!C24</f>
        <v>9499</v>
      </c>
      <c r="D6" s="68" t="n">
        <f aca="false">Revenue_Build!D24</f>
        <v>12481</v>
      </c>
      <c r="E6" s="68" t="n">
        <f aca="false">Revenue_Build!E24</f>
        <v>15413</v>
      </c>
      <c r="F6" s="68" t="n">
        <f aca="false">Revenue_Build!F24</f>
        <v>14245</v>
      </c>
      <c r="G6" s="68" t="n">
        <f aca="false">Revenue_Build!G24</f>
        <v>16557.0606</v>
      </c>
      <c r="H6" s="68" t="n">
        <f aca="false">Revenue_Build!H24</f>
        <v>19013.7760213963</v>
      </c>
      <c r="I6" s="68" t="n">
        <f aca="false">Revenue_Build!I24</f>
        <v>21431.9276557073</v>
      </c>
      <c r="J6" s="68" t="n">
        <f aca="false">Revenue_Build!J24</f>
        <v>23799.8983744703</v>
      </c>
      <c r="K6" s="68" t="n">
        <f aca="false">Revenue_Build!K24</f>
        <v>26484.1781155588</v>
      </c>
    </row>
    <row r="8" customFormat="false" ht="15" hidden="false" customHeight="false" outlineLevel="0" collapsed="false">
      <c r="A8" s="53" t="s">
        <v>662</v>
      </c>
      <c r="B8" s="54"/>
      <c r="C8" s="30" t="n">
        <f aca="false">Assumptions!C21</f>
        <v>0.776713338246131</v>
      </c>
      <c r="D8" s="30" t="n">
        <f aca="false">Assumptions!D21</f>
        <v>0.786315199102636</v>
      </c>
      <c r="E8" s="30" t="n">
        <f aca="false">Assumptions!E21</f>
        <v>0.775968338415623</v>
      </c>
      <c r="F8" s="30" t="n">
        <f aca="false">Assumptions!F21</f>
        <v>0.777044577044577</v>
      </c>
      <c r="G8" s="30" t="n">
        <f aca="false">Assumptions!G21</f>
        <v>0.777</v>
      </c>
      <c r="H8" s="30" t="n">
        <f aca="false">Assumptions!H21</f>
        <v>0.776</v>
      </c>
      <c r="I8" s="30" t="n">
        <f aca="false">Assumptions!I21</f>
        <v>0.775</v>
      </c>
      <c r="J8" s="30" t="n">
        <f aca="false">Assumptions!J21</f>
        <v>0.775</v>
      </c>
      <c r="K8" s="30" t="n">
        <f aca="false">Assumptions!K21</f>
        <v>0.774</v>
      </c>
    </row>
    <row r="9" customFormat="false" ht="15" hidden="false" customHeight="false" outlineLevel="0" collapsed="false">
      <c r="A9" s="5" t="s">
        <v>663</v>
      </c>
      <c r="B9" s="54"/>
      <c r="C9" s="68" t="n">
        <f aca="false">Hist_IS!C14+Hist_IS!C15+Hist_IS!C16</f>
        <v>7378</v>
      </c>
      <c r="D9" s="68" t="n">
        <f aca="false">Hist_IS!D14+Hist_IS!D15+Hist_IS!D16</f>
        <v>9814</v>
      </c>
      <c r="E9" s="68" t="n">
        <f aca="false">Hist_IS!E14+Hist_IS!E15+Hist_IS!E16</f>
        <v>11960</v>
      </c>
      <c r="F9" s="68" t="n">
        <f aca="false">Hist_IS!F14+Hist_IS!F15+Hist_IS!F16</f>
        <v>11069</v>
      </c>
      <c r="G9" s="69" t="n">
        <f aca="false">G6*G8</f>
        <v>12864.8360862</v>
      </c>
      <c r="H9" s="69" t="n">
        <f aca="false">H6*H8</f>
        <v>14754.6901926035</v>
      </c>
      <c r="I9" s="69" t="n">
        <f aca="false">I6*I8</f>
        <v>16609.7439331732</v>
      </c>
      <c r="J9" s="69" t="n">
        <f aca="false">J6*J8</f>
        <v>18444.9212402145</v>
      </c>
      <c r="K9" s="69" t="n">
        <f aca="false">K6*K8</f>
        <v>20498.7538614425</v>
      </c>
    </row>
    <row r="11" customFormat="false" ht="15" hidden="false" customHeight="false" outlineLevel="0" collapsed="false">
      <c r="A11" s="53" t="s">
        <v>664</v>
      </c>
      <c r="B11" s="54"/>
      <c r="C11" s="30" t="n">
        <f aca="false">Assumptions!C22</f>
        <v>0.0702179176755448</v>
      </c>
      <c r="D11" s="30" t="n">
        <f aca="false">Assumptions!D22</f>
        <v>0.062414870603317</v>
      </c>
      <c r="E11" s="30" t="n">
        <f aca="false">Assumptions!E22</f>
        <v>0.0577434633101927</v>
      </c>
      <c r="F11" s="30" t="n">
        <f aca="false">Assumptions!F22</f>
        <v>0.0659178659178659</v>
      </c>
      <c r="G11" s="30" t="n">
        <f aca="false">Assumptions!G22</f>
        <v>0.06</v>
      </c>
      <c r="H11" s="30" t="n">
        <f aca="false">Assumptions!H22</f>
        <v>0.06</v>
      </c>
      <c r="I11" s="30" t="n">
        <f aca="false">Assumptions!I22</f>
        <v>0.06</v>
      </c>
      <c r="J11" s="30" t="n">
        <f aca="false">Assumptions!J22</f>
        <v>0.06</v>
      </c>
      <c r="K11" s="30" t="n">
        <f aca="false">Assumptions!K22</f>
        <v>0.06</v>
      </c>
    </row>
    <row r="12" customFormat="false" ht="15" hidden="false" customHeight="false" outlineLevel="0" collapsed="false">
      <c r="A12" s="5" t="s">
        <v>503</v>
      </c>
      <c r="B12" s="54"/>
      <c r="C12" s="68" t="n">
        <f aca="false">Hist_IS!C17</f>
        <v>667</v>
      </c>
      <c r="D12" s="68" t="n">
        <f aca="false">Hist_IS!D17</f>
        <v>779</v>
      </c>
      <c r="E12" s="68" t="n">
        <f aca="false">Hist_IS!E17</f>
        <v>890</v>
      </c>
      <c r="F12" s="68" t="n">
        <f aca="false">Hist_IS!F17</f>
        <v>939</v>
      </c>
      <c r="G12" s="69" t="n">
        <f aca="false">G6*G11</f>
        <v>993.423636</v>
      </c>
      <c r="H12" s="69" t="n">
        <f aca="false">H6*H11</f>
        <v>1140.82656128378</v>
      </c>
      <c r="I12" s="69" t="n">
        <f aca="false">I6*I11</f>
        <v>1285.91565934244</v>
      </c>
      <c r="J12" s="69" t="n">
        <f aca="false">J6*J11</f>
        <v>1427.99390246822</v>
      </c>
      <c r="K12" s="69" t="n">
        <f aca="false">K6*K11</f>
        <v>1589.05068693353</v>
      </c>
    </row>
    <row r="14" customFormat="false" ht="15" hidden="false" customHeight="false" outlineLevel="0" collapsed="false">
      <c r="A14" s="53" t="s">
        <v>665</v>
      </c>
      <c r="B14" s="54"/>
      <c r="C14" s="30" t="n">
        <f aca="false">Assumptions!C23</f>
        <v>0.0927466049057796</v>
      </c>
      <c r="D14" s="30" t="n">
        <f aca="false">Assumptions!D23</f>
        <v>0.113292204150308</v>
      </c>
      <c r="E14" s="30" t="n">
        <f aca="false">Assumptions!E23</f>
        <v>0.0938169078050996</v>
      </c>
      <c r="F14" s="30" t="n">
        <f aca="false">Assumptions!F23</f>
        <v>0.111547911547912</v>
      </c>
      <c r="G14" s="30" t="n">
        <f aca="false">Assumptions!G23</f>
        <v>0.1</v>
      </c>
      <c r="H14" s="30" t="n">
        <f aca="false">Assumptions!H23</f>
        <v>0.095</v>
      </c>
      <c r="I14" s="30" t="n">
        <f aca="false">Assumptions!I23</f>
        <v>0.093</v>
      </c>
      <c r="J14" s="30" t="n">
        <f aca="false">Assumptions!J23</f>
        <v>0.093</v>
      </c>
      <c r="K14" s="30" t="n">
        <f aca="false">Assumptions!K23</f>
        <v>0.093</v>
      </c>
    </row>
    <row r="15" customFormat="false" ht="15" hidden="false" customHeight="false" outlineLevel="0" collapsed="false">
      <c r="A15" s="5" t="s">
        <v>666</v>
      </c>
      <c r="B15" s="54"/>
      <c r="C15" s="68" t="n">
        <f aca="false">Hist_IS!C19</f>
        <v>881</v>
      </c>
      <c r="D15" s="68" t="n">
        <f aca="false">Hist_IS!D19</f>
        <v>1414</v>
      </c>
      <c r="E15" s="68" t="n">
        <f aca="false">Hist_IS!E19</f>
        <v>1446</v>
      </c>
      <c r="F15" s="68" t="n">
        <f aca="false">Hist_IS!F19</f>
        <v>1589</v>
      </c>
      <c r="G15" s="69" t="n">
        <f aca="false">G6*G14</f>
        <v>1655.70606</v>
      </c>
      <c r="H15" s="69" t="n">
        <f aca="false">H6*H14</f>
        <v>1806.30872203264</v>
      </c>
      <c r="I15" s="69" t="n">
        <f aca="false">I6*I14</f>
        <v>1993.16927198078</v>
      </c>
      <c r="J15" s="69" t="n">
        <f aca="false">J6*J14</f>
        <v>2213.39054882574</v>
      </c>
      <c r="K15" s="69" t="n">
        <f aca="false">K6*K14</f>
        <v>2463.02856474697</v>
      </c>
    </row>
    <row r="17" customFormat="false" ht="15" hidden="false" customHeight="false" outlineLevel="0" collapsed="false">
      <c r="A17" s="55" t="s">
        <v>667</v>
      </c>
      <c r="B17" s="54"/>
      <c r="C17" s="56" t="n">
        <f aca="false">C9+C12+C15</f>
        <v>8926</v>
      </c>
      <c r="D17" s="56" t="n">
        <f aca="false">D9+D12+D15</f>
        <v>12007</v>
      </c>
      <c r="E17" s="56" t="n">
        <f aca="false">E9+E12+E15</f>
        <v>14296</v>
      </c>
      <c r="F17" s="56" t="n">
        <f aca="false">F9+F12+F15</f>
        <v>13597</v>
      </c>
      <c r="G17" s="56" t="n">
        <f aca="false">G9+G12+G15</f>
        <v>15513.9657822</v>
      </c>
      <c r="H17" s="56" t="n">
        <f aca="false">H9+H12+H15</f>
        <v>17701.8254759199</v>
      </c>
      <c r="I17" s="56" t="n">
        <f aca="false">I9+I12+I15</f>
        <v>19888.8288644964</v>
      </c>
      <c r="J17" s="56" t="n">
        <f aca="false">J9+J12+J15</f>
        <v>22086.3056915084</v>
      </c>
      <c r="K17" s="56" t="n">
        <f aca="false">K9+K12+K15</f>
        <v>24550.833113123</v>
      </c>
    </row>
    <row r="18" customFormat="false" ht="15" hidden="false" customHeight="false" outlineLevel="0" collapsed="false">
      <c r="A18" s="55" t="s">
        <v>668</v>
      </c>
      <c r="B18" s="54"/>
      <c r="C18" s="56" t="n">
        <f aca="false">C6-C17</f>
        <v>573</v>
      </c>
      <c r="D18" s="56" t="n">
        <f aca="false">D6-D17</f>
        <v>474</v>
      </c>
      <c r="E18" s="56" t="n">
        <f aca="false">E6-E17</f>
        <v>1117</v>
      </c>
      <c r="F18" s="56" t="n">
        <f aca="false">F6-F17</f>
        <v>648</v>
      </c>
      <c r="G18" s="56" t="n">
        <f aca="false">G6-G17</f>
        <v>1043.0948178</v>
      </c>
      <c r="H18" s="56" t="n">
        <f aca="false">H6-H17</f>
        <v>1311.95054547634</v>
      </c>
      <c r="I18" s="56" t="n">
        <f aca="false">I6-I17</f>
        <v>1543.09879121093</v>
      </c>
      <c r="J18" s="56" t="n">
        <f aca="false">J6-J17</f>
        <v>1713.59268296186</v>
      </c>
      <c r="K18" s="56" t="n">
        <f aca="false">K6-K17</f>
        <v>1933.34500243579</v>
      </c>
    </row>
    <row r="19" customFormat="false" ht="15" hidden="false" customHeight="false" outlineLevel="0" collapsed="false">
      <c r="A19" s="53" t="s">
        <v>508</v>
      </c>
      <c r="B19" s="54"/>
      <c r="C19" s="31" t="n">
        <f aca="false">C18/C6</f>
        <v>0.0603221391725445</v>
      </c>
      <c r="D19" s="31" t="n">
        <f aca="false">D18/D6</f>
        <v>0.0379777261437385</v>
      </c>
      <c r="E19" s="31" t="n">
        <f aca="false">E18/E6</f>
        <v>0.0724712904690845</v>
      </c>
      <c r="F19" s="31" t="n">
        <f aca="false">F18/F6</f>
        <v>0.0454896454896455</v>
      </c>
      <c r="G19" s="31" t="n">
        <f aca="false">G18/G6</f>
        <v>0.063</v>
      </c>
      <c r="H19" s="31" t="n">
        <f aca="false">H18/H6</f>
        <v>0.069</v>
      </c>
      <c r="I19" s="31" t="n">
        <f aca="false">I18/I6</f>
        <v>0.072</v>
      </c>
      <c r="J19" s="31" t="n">
        <f aca="false">J18/J6</f>
        <v>0.0719999999999999</v>
      </c>
      <c r="K19" s="31" t="n">
        <f aca="false">K18/K6</f>
        <v>0.0729999999999999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1" min="3" style="0" width="11.5"/>
  </cols>
  <sheetData>
    <row r="1" customFormat="false" ht="17.35" hidden="false" customHeight="false" outlineLevel="0" collapsed="false">
      <c r="A1" s="17" t="s">
        <v>669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8" t="s">
        <v>483</v>
      </c>
    </row>
    <row r="4" customFormat="false" ht="15" hidden="false" customHeight="false" outlineLevel="0" collapsed="false">
      <c r="C4" s="48" t="s">
        <v>484</v>
      </c>
      <c r="G4" s="48" t="s">
        <v>597</v>
      </c>
    </row>
    <row r="5" customFormat="false" ht="15" hidden="false" customHeight="false" outlineLevel="0" collapsed="false">
      <c r="A5" s="49" t="s">
        <v>485</v>
      </c>
      <c r="B5" s="49" t="s">
        <v>486</v>
      </c>
      <c r="C5" s="50" t="s">
        <v>487</v>
      </c>
      <c r="D5" s="50" t="s">
        <v>488</v>
      </c>
      <c r="E5" s="50" t="s">
        <v>489</v>
      </c>
      <c r="F5" s="50" t="s">
        <v>490</v>
      </c>
      <c r="G5" s="60" t="s">
        <v>598</v>
      </c>
      <c r="H5" s="60" t="s">
        <v>599</v>
      </c>
      <c r="I5" s="60" t="s">
        <v>600</v>
      </c>
      <c r="J5" s="60" t="s">
        <v>601</v>
      </c>
      <c r="K5" s="60" t="s">
        <v>602</v>
      </c>
    </row>
    <row r="6" customFormat="false" ht="15" hidden="false" customHeight="false" outlineLevel="0" collapsed="false">
      <c r="A6" s="5" t="s">
        <v>661</v>
      </c>
      <c r="B6" s="54"/>
      <c r="C6" s="68" t="n">
        <f aca="false">Cost_Schedule!C6</f>
        <v>9499</v>
      </c>
      <c r="D6" s="68" t="n">
        <f aca="false">Cost_Schedule!D6</f>
        <v>12481</v>
      </c>
      <c r="E6" s="68" t="n">
        <f aca="false">Cost_Schedule!E6</f>
        <v>15413</v>
      </c>
      <c r="F6" s="68" t="n">
        <f aca="false">Cost_Schedule!F6</f>
        <v>14245</v>
      </c>
      <c r="G6" s="68" t="n">
        <f aca="false">Cost_Schedule!G6</f>
        <v>16557.0606</v>
      </c>
      <c r="H6" s="68" t="n">
        <f aca="false">Cost_Schedule!H6</f>
        <v>19013.7760213963</v>
      </c>
      <c r="I6" s="68" t="n">
        <f aca="false">Cost_Schedule!I6</f>
        <v>21431.9276557073</v>
      </c>
      <c r="J6" s="68" t="n">
        <f aca="false">Cost_Schedule!J6</f>
        <v>23799.8983744703</v>
      </c>
      <c r="K6" s="68" t="n">
        <f aca="false">Cost_Schedule!K6</f>
        <v>26484.1781155588</v>
      </c>
    </row>
    <row r="7" customFormat="false" ht="15" hidden="false" customHeight="false" outlineLevel="0" collapsed="false">
      <c r="A7" s="5" t="s">
        <v>663</v>
      </c>
      <c r="B7" s="54"/>
      <c r="C7" s="68" t="n">
        <f aca="false">Cost_Schedule!C9</f>
        <v>7378</v>
      </c>
      <c r="D7" s="68" t="n">
        <f aca="false">Cost_Schedule!D9</f>
        <v>9814</v>
      </c>
      <c r="E7" s="68" t="n">
        <f aca="false">Cost_Schedule!E9</f>
        <v>11960</v>
      </c>
      <c r="F7" s="68" t="n">
        <f aca="false">Cost_Schedule!F9</f>
        <v>11069</v>
      </c>
      <c r="G7" s="68" t="n">
        <f aca="false">Cost_Schedule!G9</f>
        <v>12864.8360862</v>
      </c>
      <c r="H7" s="68" t="n">
        <f aca="false">Cost_Schedule!H9</f>
        <v>14754.6901926035</v>
      </c>
      <c r="I7" s="68" t="n">
        <f aca="false">Cost_Schedule!I9</f>
        <v>16609.7439331732</v>
      </c>
      <c r="J7" s="68" t="n">
        <f aca="false">Cost_Schedule!J9</f>
        <v>18444.9212402145</v>
      </c>
      <c r="K7" s="68" t="n">
        <f aca="false">Cost_Schedule!K9</f>
        <v>20498.7538614425</v>
      </c>
    </row>
    <row r="8" customFormat="false" ht="15" hidden="false" customHeight="false" outlineLevel="0" collapsed="false">
      <c r="A8" s="51" t="s">
        <v>670</v>
      </c>
      <c r="B8" s="52"/>
      <c r="C8" s="52"/>
      <c r="D8" s="52"/>
      <c r="E8" s="52"/>
      <c r="F8" s="52"/>
      <c r="G8" s="52"/>
      <c r="H8" s="52"/>
      <c r="I8" s="52"/>
      <c r="J8" s="52"/>
      <c r="K8" s="52"/>
    </row>
    <row r="9" customFormat="false" ht="15" hidden="false" customHeight="false" outlineLevel="0" collapsed="false">
      <c r="A9" s="53" t="s">
        <v>671</v>
      </c>
      <c r="B9" s="54"/>
      <c r="C9" s="70" t="n">
        <f aca="false">Hist_BS!C36/C6*365</f>
        <v>84.2278134540478</v>
      </c>
      <c r="D9" s="70" t="n">
        <f aca="false">Hist_BS!D36/D6*365</f>
        <v>74.0761958176428</v>
      </c>
      <c r="E9" s="70" t="n">
        <f aca="false">Hist_BS!E36/E6*365</f>
        <v>59.4637643547655</v>
      </c>
      <c r="F9" s="70" t="n">
        <f aca="false">Hist_BS!F36/F6*365</f>
        <v>77.7658827658828</v>
      </c>
      <c r="G9" s="70" t="n">
        <f aca="false">Assumptions!G27</f>
        <v>71</v>
      </c>
      <c r="H9" s="70" t="n">
        <f aca="false">Assumptions!H27</f>
        <v>77</v>
      </c>
      <c r="I9" s="70" t="n">
        <f aca="false">Assumptions!I27</f>
        <v>76</v>
      </c>
      <c r="J9" s="70" t="n">
        <f aca="false">Assumptions!J27</f>
        <v>77</v>
      </c>
      <c r="K9" s="70" t="n">
        <f aca="false">Assumptions!K27</f>
        <v>76</v>
      </c>
    </row>
    <row r="10" customFormat="false" ht="15" hidden="false" customHeight="false" outlineLevel="0" collapsed="false">
      <c r="A10" s="53" t="s">
        <v>672</v>
      </c>
      <c r="B10" s="54"/>
      <c r="C10" s="70" t="n">
        <f aca="false">Hist_BS!C35/C7*365</f>
        <v>78.7584711303876</v>
      </c>
      <c r="D10" s="70" t="n">
        <f aca="false">Hist_BS!D35/D7*365</f>
        <v>79.404422253923</v>
      </c>
      <c r="E10" s="70" t="n">
        <f aca="false">Hist_BS!E35/E7*365</f>
        <v>82.8574414715719</v>
      </c>
      <c r="F10" s="70" t="n">
        <f aca="false">Hist_BS!F35/F7*365</f>
        <v>113.203089710001</v>
      </c>
      <c r="G10" s="70" t="n">
        <f aca="false">Assumptions!G28</f>
        <v>102</v>
      </c>
      <c r="H10" s="70" t="n">
        <f aca="false">Assumptions!H28</f>
        <v>97</v>
      </c>
      <c r="I10" s="70" t="n">
        <f aca="false">Assumptions!I28</f>
        <v>95</v>
      </c>
      <c r="J10" s="70" t="n">
        <f aca="false">Assumptions!J28</f>
        <v>97</v>
      </c>
      <c r="K10" s="70" t="n">
        <f aca="false">Assumptions!K28</f>
        <v>94</v>
      </c>
    </row>
    <row r="11" customFormat="false" ht="15" hidden="false" customHeight="false" outlineLevel="0" collapsed="false">
      <c r="A11" s="53" t="s">
        <v>673</v>
      </c>
      <c r="B11" s="54"/>
      <c r="C11" s="70" t="n">
        <f aca="false">Hist_BS!C20/C7*365</f>
        <v>149.057332610464</v>
      </c>
      <c r="D11" s="70" t="n">
        <f aca="false">Hist_BS!D20/D7*365</f>
        <v>143.411453026289</v>
      </c>
      <c r="E11" s="70" t="n">
        <f aca="false">Hist_BS!E20/E7*365</f>
        <v>118.808110367893</v>
      </c>
      <c r="F11" s="70" t="n">
        <f aca="false">Hist_BS!F20/F7*365</f>
        <v>172.393170114735</v>
      </c>
      <c r="G11" s="70" t="n">
        <f aca="false">Assumptions!G29</f>
        <v>158</v>
      </c>
      <c r="H11" s="70" t="n">
        <f aca="false">Assumptions!H29</f>
        <v>153</v>
      </c>
      <c r="I11" s="70" t="n">
        <f aca="false">Assumptions!I29</f>
        <v>153</v>
      </c>
      <c r="J11" s="70" t="n">
        <f aca="false">Assumptions!J29</f>
        <v>150</v>
      </c>
      <c r="K11" s="70" t="n">
        <f aca="false">Assumptions!K29</f>
        <v>150</v>
      </c>
    </row>
    <row r="12" customFormat="false" ht="15" hidden="false" customHeight="false" outlineLevel="0" collapsed="false">
      <c r="A12" s="53" t="s">
        <v>674</v>
      </c>
      <c r="B12" s="54"/>
      <c r="C12" s="70" t="n">
        <f aca="false">(Hist_BS!C39+Hist_BS!C40)/C6*365</f>
        <v>63.2861353826719</v>
      </c>
      <c r="D12" s="70" t="n">
        <f aca="false">(Hist_BS!D39+Hist_BS!D40)/D6*365</f>
        <v>49.8033010175467</v>
      </c>
      <c r="E12" s="70" t="n">
        <f aca="false">(Hist_BS!E39+Hist_BS!E40)/E6*365</f>
        <v>60.9793680659184</v>
      </c>
      <c r="F12" s="70" t="n">
        <f aca="false">(Hist_BS!F39+Hist_BS!F40)/F6*365</f>
        <v>71.8213408213408</v>
      </c>
      <c r="G12" s="70" t="n">
        <f aca="false">Assumptions!G30</f>
        <v>67</v>
      </c>
      <c r="H12" s="70" t="n">
        <f aca="false">Assumptions!H30</f>
        <v>63</v>
      </c>
      <c r="I12" s="70" t="n">
        <f aca="false">Assumptions!I30</f>
        <v>61</v>
      </c>
      <c r="J12" s="70" t="n">
        <f aca="false">Assumptions!J30</f>
        <v>61</v>
      </c>
      <c r="K12" s="70" t="n">
        <f aca="false">Assumptions!K30</f>
        <v>60</v>
      </c>
    </row>
    <row r="13" customFormat="false" ht="15" hidden="false" customHeight="false" outlineLevel="0" collapsed="false">
      <c r="A13" s="53" t="s">
        <v>675</v>
      </c>
      <c r="B13" s="54"/>
      <c r="C13" s="70" t="n">
        <f aca="false">Hist_BS!C21/C6*365</f>
        <v>38.5403726708075</v>
      </c>
      <c r="D13" s="70" t="n">
        <f aca="false">Hist_BS!D21/D6*365</f>
        <v>41.1176989023315</v>
      </c>
      <c r="E13" s="70" t="n">
        <f aca="false">Hist_BS!E21/E6*365</f>
        <v>38.3874002465451</v>
      </c>
      <c r="F13" s="70" t="n">
        <f aca="false">Hist_BS!F21/F6*365</f>
        <v>44.1740961740962</v>
      </c>
      <c r="G13" s="70" t="n">
        <f aca="false">Assumptions!G32</f>
        <v>40</v>
      </c>
      <c r="H13" s="70" t="n">
        <f aca="false">Assumptions!H32</f>
        <v>40</v>
      </c>
      <c r="I13" s="70" t="n">
        <f aca="false">Assumptions!I32</f>
        <v>40</v>
      </c>
      <c r="J13" s="70" t="n">
        <f aca="false">Assumptions!J32</f>
        <v>40</v>
      </c>
      <c r="K13" s="70" t="n">
        <f aca="false">Assumptions!K32</f>
        <v>40</v>
      </c>
    </row>
    <row r="14" customFormat="false" ht="15" hidden="false" customHeight="false" outlineLevel="0" collapsed="false">
      <c r="A14" s="51" t="s">
        <v>676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</row>
    <row r="15" customFormat="false" ht="15" hidden="false" customHeight="false" outlineLevel="0" collapsed="false">
      <c r="A15" s="5" t="s">
        <v>557</v>
      </c>
      <c r="B15" s="54"/>
      <c r="C15" s="68" t="n">
        <f aca="false">Hist_BS!C36</f>
        <v>2192</v>
      </c>
      <c r="D15" s="68" t="n">
        <f aca="false">Hist_BS!D36</f>
        <v>2533</v>
      </c>
      <c r="E15" s="68" t="n">
        <f aca="false">Hist_BS!E36</f>
        <v>2511</v>
      </c>
      <c r="F15" s="68" t="n">
        <f aca="false">Hist_BS!F36</f>
        <v>3035</v>
      </c>
      <c r="G15" s="69" t="n">
        <f aca="false">G6*G9/365</f>
        <v>3220.68850027397</v>
      </c>
      <c r="H15" s="69" t="n">
        <f aca="false">H6*H9/365</f>
        <v>4011.12535245894</v>
      </c>
      <c r="I15" s="69" t="n">
        <f aca="false">I6*I9/365</f>
        <v>4462.53836118837</v>
      </c>
      <c r="J15" s="69" t="n">
        <f aca="false">J6*J9/365</f>
        <v>5020.80047899784</v>
      </c>
      <c r="K15" s="69" t="n">
        <f aca="false">K6*K9/365</f>
        <v>5514.51379940403</v>
      </c>
    </row>
    <row r="16" customFormat="false" ht="15" hidden="false" customHeight="false" outlineLevel="0" collapsed="false">
      <c r="A16" s="5" t="s">
        <v>556</v>
      </c>
      <c r="B16" s="54"/>
      <c r="C16" s="68" t="n">
        <f aca="false">Hist_BS!C35</f>
        <v>1592</v>
      </c>
      <c r="D16" s="68" t="n">
        <f aca="false">Hist_BS!D35</f>
        <v>2135</v>
      </c>
      <c r="E16" s="68" t="n">
        <f aca="false">Hist_BS!E35</f>
        <v>2715</v>
      </c>
      <c r="F16" s="68" t="n">
        <f aca="false">Hist_BS!F35</f>
        <v>3433</v>
      </c>
      <c r="G16" s="69" t="n">
        <f aca="false">G7*G10/365</f>
        <v>3595.10487888329</v>
      </c>
      <c r="H16" s="69" t="n">
        <f aca="false">H7*H10/365</f>
        <v>3921.10944844531</v>
      </c>
      <c r="I16" s="69" t="n">
        <f aca="false">I7*I10/365</f>
        <v>4323.08403740124</v>
      </c>
      <c r="J16" s="69" t="n">
        <f aca="false">J7*J10/365</f>
        <v>4901.80098712549</v>
      </c>
      <c r="K16" s="69" t="n">
        <f aca="false">K7*K10/365</f>
        <v>5279.13113143999</v>
      </c>
    </row>
    <row r="17" customFormat="false" ht="15" hidden="false" customHeight="false" outlineLevel="0" collapsed="false">
      <c r="A17" s="5" t="s">
        <v>677</v>
      </c>
      <c r="B17" s="54"/>
      <c r="C17" s="68" t="n">
        <f aca="false">Hist_BS!C39+Hist_BS!C40</f>
        <v>1647</v>
      </c>
      <c r="D17" s="68" t="n">
        <f aca="false">Hist_BS!D39+Hist_BS!D40</f>
        <v>1703</v>
      </c>
      <c r="E17" s="68" t="n">
        <f aca="false">Hist_BS!E39+Hist_BS!E40</f>
        <v>2575</v>
      </c>
      <c r="F17" s="68" t="n">
        <f aca="false">Hist_BS!F39+Hist_BS!F40</f>
        <v>2803</v>
      </c>
      <c r="G17" s="69" t="n">
        <f aca="false">G6*G12/365</f>
        <v>3039.24126082192</v>
      </c>
      <c r="H17" s="69" t="n">
        <f aca="false">H6*H12/365</f>
        <v>3281.82983383004</v>
      </c>
      <c r="I17" s="69" t="n">
        <f aca="false">I6*I12/365</f>
        <v>3581.77421095383</v>
      </c>
      <c r="J17" s="69" t="n">
        <f aca="false">J6*J12/365</f>
        <v>3977.51726258271</v>
      </c>
      <c r="K17" s="69" t="n">
        <f aca="false">K6*K12/365</f>
        <v>4353.56352584529</v>
      </c>
    </row>
    <row r="18" customFormat="false" ht="15" hidden="false" customHeight="false" outlineLevel="0" collapsed="false">
      <c r="A18" s="5" t="s">
        <v>543</v>
      </c>
      <c r="B18" s="54"/>
      <c r="C18" s="68" t="n">
        <f aca="false">Hist_BS!C20</f>
        <v>3013</v>
      </c>
      <c r="D18" s="68" t="n">
        <f aca="false">Hist_BS!D20</f>
        <v>3856</v>
      </c>
      <c r="E18" s="68" t="n">
        <f aca="false">Hist_BS!E20</f>
        <v>3893</v>
      </c>
      <c r="F18" s="68" t="n">
        <f aca="false">Hist_BS!F20</f>
        <v>5228</v>
      </c>
      <c r="G18" s="69" t="n">
        <f aca="false">G7*G11/365</f>
        <v>5568.88794964274</v>
      </c>
      <c r="H18" s="69" t="n">
        <f aca="false">H7*H11/365</f>
        <v>6184.84273826941</v>
      </c>
      <c r="I18" s="69" t="n">
        <f aca="false">I7*I11/365</f>
        <v>6962.4406076041</v>
      </c>
      <c r="J18" s="69" t="n">
        <f aca="false">J7*J11/365</f>
        <v>7580.10461926622</v>
      </c>
      <c r="K18" s="69" t="n">
        <f aca="false">K7*K11/365</f>
        <v>8424.14542251063</v>
      </c>
    </row>
    <row r="19" customFormat="false" ht="15" hidden="false" customHeight="false" outlineLevel="0" collapsed="false">
      <c r="A19" s="5" t="s">
        <v>678</v>
      </c>
      <c r="B19" s="54"/>
      <c r="C19" s="68" t="n">
        <f aca="false">Hist_BS!C21</f>
        <v>1003</v>
      </c>
      <c r="D19" s="68" t="n">
        <f aca="false">Hist_BS!D21</f>
        <v>1406</v>
      </c>
      <c r="E19" s="68" t="n">
        <f aca="false">Hist_BS!E21</f>
        <v>1621</v>
      </c>
      <c r="F19" s="68" t="n">
        <f aca="false">Hist_BS!F21</f>
        <v>1724</v>
      </c>
      <c r="G19" s="69" t="n">
        <f aca="false">G6*G13/365</f>
        <v>1814.47239452055</v>
      </c>
      <c r="H19" s="69" t="n">
        <f aca="false">H6*H13/365</f>
        <v>2083.70148179685</v>
      </c>
      <c r="I19" s="69" t="n">
        <f aca="false">I6*I13/365</f>
        <v>2348.70440062546</v>
      </c>
      <c r="J19" s="69" t="n">
        <f aca="false">J6*J13/365</f>
        <v>2608.20804103784</v>
      </c>
      <c r="K19" s="69" t="n">
        <f aca="false">K6*K13/365</f>
        <v>2902.37568389686</v>
      </c>
    </row>
    <row r="21" customFormat="false" ht="15" hidden="false" customHeight="false" outlineLevel="0" collapsed="false">
      <c r="A21" s="55" t="s">
        <v>679</v>
      </c>
      <c r="B21" s="54"/>
      <c r="C21" s="56" t="n">
        <f aca="false">C15+C16+C17-C18-C19</f>
        <v>1415</v>
      </c>
      <c r="D21" s="56" t="n">
        <f aca="false">D15+D16+D17-D18-D19</f>
        <v>1109</v>
      </c>
      <c r="E21" s="56" t="n">
        <f aca="false">E15+E16+E17-E18-E19</f>
        <v>2287</v>
      </c>
      <c r="F21" s="56" t="n">
        <f aca="false">F15+F16+F17-F18-F19</f>
        <v>2319</v>
      </c>
      <c r="G21" s="56" t="n">
        <f aca="false">G15+G16+G17-G18-G19</f>
        <v>2471.67429581589</v>
      </c>
      <c r="H21" s="56" t="n">
        <f aca="false">H15+H16+H17-H18-H19</f>
        <v>2945.52041466803</v>
      </c>
      <c r="I21" s="56" t="n">
        <f aca="false">I15+I16+I17-I18-I19</f>
        <v>3056.25160131388</v>
      </c>
      <c r="J21" s="56" t="n">
        <f aca="false">J15+J16+J17-J18-J19</f>
        <v>3711.80606840197</v>
      </c>
      <c r="K21" s="56" t="n">
        <f aca="false">K15+K16+K17-K18-K19</f>
        <v>3820.68735028182</v>
      </c>
    </row>
    <row r="22" customFormat="false" ht="15" hidden="false" customHeight="false" outlineLevel="0" collapsed="false">
      <c r="A22" s="5" t="s">
        <v>680</v>
      </c>
      <c r="B22" s="54"/>
      <c r="G22" s="69" t="n">
        <f aca="false">F21-G21</f>
        <v>-152.67429581589</v>
      </c>
      <c r="H22" s="69" t="n">
        <f aca="false">G21-H21</f>
        <v>-473.846118852137</v>
      </c>
      <c r="I22" s="69" t="n">
        <f aca="false">H21-I21</f>
        <v>-110.731186645851</v>
      </c>
      <c r="J22" s="69" t="n">
        <f aca="false">I21-J21</f>
        <v>-655.554467088097</v>
      </c>
      <c r="K22" s="69" t="n">
        <f aca="false">J21-K21</f>
        <v>-108.881281879848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1" min="3" style="0" width="11.5"/>
  </cols>
  <sheetData>
    <row r="1" customFormat="false" ht="17.35" hidden="false" customHeight="false" outlineLevel="0" collapsed="false">
      <c r="A1" s="17" t="s">
        <v>681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8" t="s">
        <v>483</v>
      </c>
    </row>
    <row r="4" customFormat="false" ht="15" hidden="false" customHeight="false" outlineLevel="0" collapsed="false">
      <c r="C4" s="48" t="s">
        <v>484</v>
      </c>
      <c r="G4" s="48" t="s">
        <v>597</v>
      </c>
    </row>
    <row r="5" customFormat="false" ht="15" hidden="false" customHeight="false" outlineLevel="0" collapsed="false">
      <c r="A5" s="49" t="s">
        <v>485</v>
      </c>
      <c r="B5" s="49" t="s">
        <v>486</v>
      </c>
      <c r="C5" s="50" t="s">
        <v>487</v>
      </c>
      <c r="D5" s="50" t="s">
        <v>488</v>
      </c>
      <c r="E5" s="50" t="s">
        <v>489</v>
      </c>
      <c r="F5" s="50" t="s">
        <v>490</v>
      </c>
      <c r="G5" s="60" t="s">
        <v>598</v>
      </c>
      <c r="H5" s="60" t="s">
        <v>599</v>
      </c>
      <c r="I5" s="60" t="s">
        <v>600</v>
      </c>
      <c r="J5" s="60" t="s">
        <v>601</v>
      </c>
      <c r="K5" s="60" t="s">
        <v>602</v>
      </c>
    </row>
    <row r="6" customFormat="false" ht="15" hidden="false" customHeight="false" outlineLevel="0" collapsed="false">
      <c r="A6" s="5" t="s">
        <v>682</v>
      </c>
      <c r="B6" s="54"/>
      <c r="C6" s="68" t="n">
        <f aca="false">Revenue_Build!C24</f>
        <v>9499</v>
      </c>
      <c r="D6" s="68" t="n">
        <f aca="false">Revenue_Build!D24</f>
        <v>12481</v>
      </c>
      <c r="E6" s="68" t="n">
        <f aca="false">Revenue_Build!E24</f>
        <v>15413</v>
      </c>
      <c r="F6" s="68" t="n">
        <f aca="false">Revenue_Build!F24</f>
        <v>14245</v>
      </c>
      <c r="G6" s="68" t="n">
        <f aca="false">Revenue_Build!G24</f>
        <v>16557.0606</v>
      </c>
      <c r="H6" s="68" t="n">
        <f aca="false">Revenue_Build!H24</f>
        <v>19013.7760213963</v>
      </c>
      <c r="I6" s="68" t="n">
        <f aca="false">Revenue_Build!I24</f>
        <v>21431.9276557073</v>
      </c>
      <c r="J6" s="68" t="n">
        <f aca="false">Revenue_Build!J24</f>
        <v>23799.8983744703</v>
      </c>
      <c r="K6" s="68" t="n">
        <f aca="false">Revenue_Build!K24</f>
        <v>26484.1781155588</v>
      </c>
    </row>
    <row r="7" customFormat="false" ht="15" hidden="false" customHeight="false" outlineLevel="0" collapsed="false">
      <c r="A7" s="51" t="s">
        <v>683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customFormat="false" ht="15" hidden="false" customHeight="false" outlineLevel="0" collapsed="false">
      <c r="A8" s="53" t="s">
        <v>684</v>
      </c>
      <c r="B8" s="54"/>
      <c r="C8" s="23" t="n">
        <v>488</v>
      </c>
      <c r="D8" s="59" t="n">
        <f aca="false">C12</f>
        <v>638</v>
      </c>
      <c r="E8" s="59" t="n">
        <f aca="false">D12</f>
        <v>687</v>
      </c>
      <c r="F8" s="59" t="n">
        <f aca="false">E12</f>
        <v>1161</v>
      </c>
      <c r="G8" s="59" t="n">
        <f aca="false">F12</f>
        <v>1338</v>
      </c>
      <c r="H8" s="59" t="n">
        <f aca="false">G12</f>
        <v>1553.2417878</v>
      </c>
      <c r="I8" s="59" t="n">
        <f aca="false">H12</f>
        <v>1800.42087607815</v>
      </c>
      <c r="J8" s="59" t="n">
        <f aca="false">I12</f>
        <v>2143.33171856947</v>
      </c>
      <c r="K8" s="59" t="n">
        <f aca="false">J12</f>
        <v>2452.73039743758</v>
      </c>
    </row>
    <row r="9" customFormat="false" ht="15" hidden="false" customHeight="false" outlineLevel="0" collapsed="false">
      <c r="A9" s="53" t="s">
        <v>685</v>
      </c>
      <c r="B9" s="54"/>
      <c r="C9" s="23" t="n">
        <v>159</v>
      </c>
      <c r="D9" s="23" t="n">
        <v>63</v>
      </c>
      <c r="E9" s="23" t="n">
        <v>483</v>
      </c>
      <c r="F9" s="23" t="n">
        <v>183</v>
      </c>
      <c r="G9" s="59" t="n">
        <f aca="false">G6*G23</f>
        <v>215.2417878</v>
      </c>
      <c r="H9" s="59" t="n">
        <f aca="false">H6*H23</f>
        <v>247.179088278151</v>
      </c>
      <c r="I9" s="59" t="n">
        <f aca="false">I6*I23</f>
        <v>342.910842491317</v>
      </c>
      <c r="J9" s="59" t="n">
        <f aca="false">J6*J23</f>
        <v>309.398678868114</v>
      </c>
      <c r="K9" s="59" t="n">
        <f aca="false">K6*K23</f>
        <v>344.294315502265</v>
      </c>
    </row>
    <row r="10" customFormat="false" ht="15" hidden="false" customHeight="false" outlineLevel="0" collapsed="false">
      <c r="A10" s="53" t="s">
        <v>686</v>
      </c>
      <c r="B10" s="54"/>
      <c r="C10" s="23" t="n">
        <v>13</v>
      </c>
      <c r="D10" s="23" t="n">
        <v>14</v>
      </c>
      <c r="E10" s="23" t="n">
        <v>11</v>
      </c>
      <c r="F10" s="23" t="n">
        <v>17</v>
      </c>
    </row>
    <row r="11" customFormat="false" ht="15" hidden="false" customHeight="false" outlineLevel="0" collapsed="false">
      <c r="A11" s="53" t="s">
        <v>687</v>
      </c>
      <c r="B11" s="54"/>
      <c r="C11" s="23" t="n">
        <v>4</v>
      </c>
      <c r="D11" s="23" t="n">
        <v>1</v>
      </c>
      <c r="E11" s="23" t="n">
        <v>1</v>
      </c>
      <c r="F11" s="23" t="n">
        <v>11</v>
      </c>
    </row>
    <row r="12" customFormat="false" ht="15" hidden="false" customHeight="false" outlineLevel="0" collapsed="false">
      <c r="A12" s="55" t="s">
        <v>688</v>
      </c>
      <c r="B12" s="54"/>
      <c r="C12" s="71" t="n">
        <v>638</v>
      </c>
      <c r="D12" s="71" t="n">
        <v>687</v>
      </c>
      <c r="E12" s="71" t="n">
        <v>1161</v>
      </c>
      <c r="F12" s="71" t="n">
        <v>1338</v>
      </c>
      <c r="G12" s="56" t="n">
        <f aca="false">G8+G9-N(G10)+N(G11)</f>
        <v>1553.2417878</v>
      </c>
      <c r="H12" s="56" t="n">
        <f aca="false">H8+H9-N(H10)+N(H11)</f>
        <v>1800.42087607815</v>
      </c>
      <c r="I12" s="56" t="n">
        <f aca="false">I8+I9-N(I10)+N(I11)</f>
        <v>2143.33171856947</v>
      </c>
      <c r="J12" s="56" t="n">
        <f aca="false">J8+J9-N(J10)+N(J11)</f>
        <v>2452.73039743758</v>
      </c>
      <c r="K12" s="56" t="n">
        <f aca="false">K8+K9-N(K10)+N(K11)</f>
        <v>2797.02471293985</v>
      </c>
    </row>
    <row r="13" customFormat="false" ht="15" hidden="false" customHeight="false" outlineLevel="0" collapsed="false">
      <c r="A13" s="58" t="s">
        <v>689</v>
      </c>
      <c r="B13" s="54"/>
      <c r="C13" s="59" t="n">
        <f aca="false">C8+C9-C10+C11-C12</f>
        <v>0</v>
      </c>
      <c r="D13" s="59" t="n">
        <f aca="false">D8+D9-D10+D11-D12</f>
        <v>1</v>
      </c>
      <c r="E13" s="59" t="n">
        <f aca="false">E8+E9-E10+E11-E12</f>
        <v>-1</v>
      </c>
      <c r="F13" s="59" t="n">
        <f aca="false">F8+F9-F10+F11-F12</f>
        <v>0</v>
      </c>
    </row>
    <row r="14" customFormat="false" ht="15" hidden="false" customHeight="false" outlineLevel="0" collapsed="false">
      <c r="A14" s="51" t="s">
        <v>690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</row>
    <row r="15" customFormat="false" ht="15" hidden="false" customHeight="false" outlineLevel="0" collapsed="false">
      <c r="A15" s="53" t="s">
        <v>691</v>
      </c>
      <c r="B15" s="54"/>
      <c r="C15" s="23" t="n">
        <v>258</v>
      </c>
      <c r="D15" s="59" t="n">
        <f aca="false">C19</f>
        <v>277</v>
      </c>
      <c r="E15" s="59" t="n">
        <f aca="false">D19</f>
        <v>297</v>
      </c>
      <c r="F15" s="59" t="n">
        <f aca="false">E19</f>
        <v>341</v>
      </c>
      <c r="G15" s="59" t="n">
        <f aca="false">F19</f>
        <v>403</v>
      </c>
      <c r="H15" s="59" t="n">
        <f aca="false">G19</f>
        <v>482.783717627273</v>
      </c>
      <c r="I15" s="59" t="n">
        <f aca="false">H19</f>
        <v>573.802848358098</v>
      </c>
      <c r="J15" s="59" t="n">
        <f aca="false">I19</f>
        <v>680.408835565801</v>
      </c>
      <c r="K15" s="59" t="n">
        <f aca="false">J19</f>
        <v>801.078399085691</v>
      </c>
    </row>
    <row r="16" customFormat="false" ht="15" hidden="false" customHeight="false" outlineLevel="0" collapsed="false">
      <c r="A16" s="53" t="s">
        <v>692</v>
      </c>
      <c r="B16" s="54"/>
      <c r="C16" s="23" t="n">
        <v>27</v>
      </c>
      <c r="D16" s="23" t="n">
        <v>32</v>
      </c>
      <c r="E16" s="23" t="n">
        <v>52</v>
      </c>
      <c r="F16" s="23" t="n">
        <v>70</v>
      </c>
      <c r="G16" s="59" t="n">
        <f aca="false">G33</f>
        <v>79.7837176272727</v>
      </c>
      <c r="H16" s="59" t="n">
        <f aca="false">H33</f>
        <v>91.0191307308251</v>
      </c>
      <c r="I16" s="59" t="n">
        <f aca="false">I33</f>
        <v>106.605987207703</v>
      </c>
      <c r="J16" s="59" t="n">
        <f aca="false">J33</f>
        <v>120.66956351989</v>
      </c>
      <c r="K16" s="59" t="n">
        <f aca="false">K33</f>
        <v>136.319305133629</v>
      </c>
    </row>
    <row r="17" customFormat="false" ht="15" hidden="false" customHeight="false" outlineLevel="0" collapsed="false">
      <c r="A17" s="53" t="s">
        <v>686</v>
      </c>
      <c r="B17" s="54"/>
      <c r="C17" s="23" t="n">
        <v>11</v>
      </c>
      <c r="D17" s="23" t="n">
        <v>13</v>
      </c>
      <c r="E17" s="23" t="n">
        <v>9</v>
      </c>
      <c r="F17" s="23" t="n">
        <v>15</v>
      </c>
    </row>
    <row r="18" customFormat="false" ht="15" hidden="false" customHeight="false" outlineLevel="0" collapsed="false">
      <c r="A18" s="53" t="s">
        <v>693</v>
      </c>
      <c r="B18" s="54"/>
      <c r="C18" s="23" t="n">
        <v>4</v>
      </c>
      <c r="D18" s="23" t="n">
        <v>1</v>
      </c>
      <c r="E18" s="23" t="n">
        <v>1</v>
      </c>
      <c r="F18" s="23" t="n">
        <v>7</v>
      </c>
    </row>
    <row r="19" customFormat="false" ht="15" hidden="false" customHeight="false" outlineLevel="0" collapsed="false">
      <c r="A19" s="55" t="s">
        <v>694</v>
      </c>
      <c r="B19" s="54"/>
      <c r="C19" s="71" t="n">
        <v>277</v>
      </c>
      <c r="D19" s="71" t="n">
        <v>297</v>
      </c>
      <c r="E19" s="71" t="n">
        <v>341</v>
      </c>
      <c r="F19" s="71" t="n">
        <v>403</v>
      </c>
      <c r="G19" s="56" t="n">
        <f aca="false">G15+G16-N(G17)+N(G18)</f>
        <v>482.783717627273</v>
      </c>
      <c r="H19" s="56" t="n">
        <f aca="false">H15+H16-N(H17)+N(H18)</f>
        <v>573.802848358098</v>
      </c>
      <c r="I19" s="56" t="n">
        <f aca="false">I15+I16-N(I17)+N(I18)</f>
        <v>680.408835565801</v>
      </c>
      <c r="J19" s="56" t="n">
        <f aca="false">J15+J16-N(J17)+N(J18)</f>
        <v>801.078399085691</v>
      </c>
      <c r="K19" s="56" t="n">
        <f aca="false">K15+K16-N(K17)+N(K18)</f>
        <v>937.39770421932</v>
      </c>
    </row>
    <row r="20" customFormat="false" ht="15" hidden="false" customHeight="false" outlineLevel="0" collapsed="false">
      <c r="A20" s="58" t="s">
        <v>689</v>
      </c>
      <c r="B20" s="54"/>
      <c r="C20" s="59" t="n">
        <f aca="false">C15+C16-C17+C18-C19</f>
        <v>1</v>
      </c>
      <c r="D20" s="59" t="n">
        <f aca="false">D15+D16-D17+D18-D19</f>
        <v>0</v>
      </c>
      <c r="E20" s="59" t="n">
        <f aca="false">E15+E16-E17+E18-E19</f>
        <v>0</v>
      </c>
      <c r="F20" s="59" t="n">
        <f aca="false">F15+F16-F17+F18-F19</f>
        <v>0</v>
      </c>
    </row>
    <row r="21" customFormat="false" ht="15" hidden="false" customHeight="false" outlineLevel="0" collapsed="false">
      <c r="A21" s="55" t="s">
        <v>695</v>
      </c>
      <c r="B21" s="54"/>
      <c r="C21" s="56" t="n">
        <f aca="false">C12-C19</f>
        <v>361</v>
      </c>
      <c r="D21" s="56" t="n">
        <f aca="false">D12-D19</f>
        <v>390</v>
      </c>
      <c r="E21" s="56" t="n">
        <f aca="false">E12-E19</f>
        <v>820</v>
      </c>
      <c r="F21" s="56" t="n">
        <f aca="false">F12-F19</f>
        <v>935</v>
      </c>
      <c r="G21" s="56" t="n">
        <f aca="false">G12-G19</f>
        <v>1070.45807017273</v>
      </c>
      <c r="H21" s="56" t="n">
        <f aca="false">H12-H19</f>
        <v>1226.61802772005</v>
      </c>
      <c r="I21" s="56" t="n">
        <f aca="false">I12-I19</f>
        <v>1462.92288300367</v>
      </c>
      <c r="J21" s="56" t="n">
        <f aca="false">J12-J19</f>
        <v>1651.65199835189</v>
      </c>
      <c r="K21" s="56" t="n">
        <f aca="false">K12-K19</f>
        <v>1859.62700872053</v>
      </c>
    </row>
    <row r="23" customFormat="false" ht="15" hidden="false" customHeight="false" outlineLevel="0" collapsed="false">
      <c r="A23" s="53" t="s">
        <v>696</v>
      </c>
      <c r="B23" s="54"/>
      <c r="C23" s="72" t="n">
        <f aca="false">C9/C6</f>
        <v>0.0167386040635856</v>
      </c>
      <c r="D23" s="72" t="n">
        <f aca="false">D9/D6</f>
        <v>0.00504767246214246</v>
      </c>
      <c r="E23" s="72" t="n">
        <f aca="false">E9/E6</f>
        <v>0.031337182897554</v>
      </c>
      <c r="F23" s="72" t="n">
        <f aca="false">F9/F6</f>
        <v>0.0128466128466128</v>
      </c>
      <c r="G23" s="63" t="n">
        <v>0.013</v>
      </c>
      <c r="H23" s="63" t="n">
        <v>0.013</v>
      </c>
      <c r="I23" s="63" t="n">
        <v>0.016</v>
      </c>
      <c r="J23" s="63" t="n">
        <v>0.013</v>
      </c>
      <c r="K23" s="63" t="n">
        <v>0.013</v>
      </c>
    </row>
    <row r="24" customFormat="false" ht="15" hidden="false" customHeight="false" outlineLevel="0" collapsed="false">
      <c r="A24" s="53" t="s">
        <v>697</v>
      </c>
      <c r="B24" s="54"/>
      <c r="C24" s="72" t="n">
        <f aca="false">C16/C12</f>
        <v>0.0423197492163009</v>
      </c>
      <c r="D24" s="72" t="n">
        <f aca="false">D16/D12</f>
        <v>0.0465793304221252</v>
      </c>
      <c r="E24" s="72" t="n">
        <f aca="false">E16/E12</f>
        <v>0.0447889750215332</v>
      </c>
      <c r="F24" s="72" t="n">
        <f aca="false">F16/F12</f>
        <v>0.0523168908819133</v>
      </c>
      <c r="G24" s="72" t="n">
        <f aca="false">1/G25</f>
        <v>0.0454545454545455</v>
      </c>
      <c r="H24" s="72" t="n">
        <f aca="false">1/H25</f>
        <v>0.0454545454545455</v>
      </c>
      <c r="I24" s="72" t="n">
        <f aca="false">1/I25</f>
        <v>0.0454545454545455</v>
      </c>
      <c r="J24" s="72" t="n">
        <f aca="false">1/J25</f>
        <v>0.0454545454545455</v>
      </c>
      <c r="K24" s="72" t="n">
        <f aca="false">1/K25</f>
        <v>0.0454545454545455</v>
      </c>
    </row>
    <row r="25" customFormat="false" ht="15" hidden="false" customHeight="false" outlineLevel="0" collapsed="false">
      <c r="A25" s="53" t="s">
        <v>698</v>
      </c>
      <c r="B25" s="54"/>
      <c r="C25" s="73" t="n">
        <f aca="false">1/C24</f>
        <v>23.6296296296296</v>
      </c>
      <c r="D25" s="73" t="n">
        <f aca="false">1/D24</f>
        <v>21.46875</v>
      </c>
      <c r="E25" s="73" t="n">
        <f aca="false">1/E24</f>
        <v>22.3269230769231</v>
      </c>
      <c r="F25" s="73" t="n">
        <f aca="false">1/F24</f>
        <v>19.1142857142857</v>
      </c>
      <c r="G25" s="64" t="n">
        <v>22</v>
      </c>
      <c r="H25" s="64" t="n">
        <v>22</v>
      </c>
      <c r="I25" s="64" t="n">
        <v>22</v>
      </c>
      <c r="J25" s="64" t="n">
        <v>22</v>
      </c>
      <c r="K25" s="64" t="n">
        <v>22</v>
      </c>
    </row>
    <row r="26" customFormat="false" ht="15" hidden="false" customHeight="false" outlineLevel="0" collapsed="false">
      <c r="A26" s="51" t="s">
        <v>699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</row>
    <row r="27" customFormat="false" ht="15" hidden="false" customHeight="false" outlineLevel="0" collapsed="false">
      <c r="A27" s="53" t="s">
        <v>700</v>
      </c>
      <c r="B27" s="54"/>
      <c r="G27" s="59" t="n">
        <f aca="false">$F$16</f>
        <v>70</v>
      </c>
      <c r="H27" s="59" t="n">
        <f aca="false">$F$16</f>
        <v>70</v>
      </c>
      <c r="I27" s="59" t="n">
        <f aca="false">$F$16</f>
        <v>70</v>
      </c>
      <c r="J27" s="59" t="n">
        <f aca="false">$F$16</f>
        <v>70</v>
      </c>
      <c r="K27" s="59" t="n">
        <f aca="false">$F$16</f>
        <v>70</v>
      </c>
    </row>
    <row r="28" customFormat="false" ht="15" hidden="false" customHeight="false" outlineLevel="0" collapsed="false">
      <c r="A28" s="53" t="s">
        <v>701</v>
      </c>
      <c r="B28" s="54"/>
      <c r="G28" s="59" t="n">
        <f aca="false">$G$9/G$25</f>
        <v>9.78371762727273</v>
      </c>
      <c r="H28" s="59" t="n">
        <f aca="false">$G$9/H$25</f>
        <v>9.78371762727273</v>
      </c>
      <c r="I28" s="59" t="n">
        <f aca="false">$G$9/I$25</f>
        <v>9.78371762727273</v>
      </c>
      <c r="J28" s="59" t="n">
        <f aca="false">$G$9/J$25</f>
        <v>9.78371762727273</v>
      </c>
      <c r="K28" s="59" t="n">
        <f aca="false">$G$9/K$25</f>
        <v>9.78371762727273</v>
      </c>
    </row>
    <row r="29" customFormat="false" ht="15" hidden="false" customHeight="false" outlineLevel="0" collapsed="false">
      <c r="A29" s="53" t="s">
        <v>702</v>
      </c>
      <c r="B29" s="54"/>
      <c r="H29" s="59" t="n">
        <f aca="false">$H$9/H$25</f>
        <v>11.2354131035523</v>
      </c>
      <c r="I29" s="59" t="n">
        <f aca="false">$H$9/I$25</f>
        <v>11.2354131035523</v>
      </c>
      <c r="J29" s="59" t="n">
        <f aca="false">$H$9/J$25</f>
        <v>11.2354131035523</v>
      </c>
      <c r="K29" s="59" t="n">
        <f aca="false">$H$9/K$25</f>
        <v>11.2354131035523</v>
      </c>
    </row>
    <row r="30" customFormat="false" ht="15" hidden="false" customHeight="false" outlineLevel="0" collapsed="false">
      <c r="A30" s="53" t="s">
        <v>703</v>
      </c>
      <c r="B30" s="54"/>
      <c r="I30" s="59" t="n">
        <f aca="false">$I$9/I$25</f>
        <v>15.586856476878</v>
      </c>
      <c r="J30" s="59" t="n">
        <f aca="false">$I$9/J$25</f>
        <v>15.586856476878</v>
      </c>
      <c r="K30" s="59" t="n">
        <f aca="false">$I$9/K$25</f>
        <v>15.586856476878</v>
      </c>
    </row>
    <row r="31" customFormat="false" ht="15" hidden="false" customHeight="false" outlineLevel="0" collapsed="false">
      <c r="A31" s="53" t="s">
        <v>704</v>
      </c>
      <c r="B31" s="54"/>
      <c r="J31" s="59" t="n">
        <f aca="false">$J$9/J$25</f>
        <v>14.063576312187</v>
      </c>
      <c r="K31" s="59" t="n">
        <f aca="false">$J$9/K$25</f>
        <v>14.063576312187</v>
      </c>
    </row>
    <row r="32" customFormat="false" ht="15" hidden="false" customHeight="false" outlineLevel="0" collapsed="false">
      <c r="A32" s="53" t="s">
        <v>705</v>
      </c>
      <c r="B32" s="54"/>
      <c r="K32" s="59" t="n">
        <f aca="false">$K$9/K$25</f>
        <v>15.6497416137393</v>
      </c>
    </row>
    <row r="33" customFormat="false" ht="15" hidden="false" customHeight="false" outlineLevel="0" collapsed="false">
      <c r="A33" s="55" t="s">
        <v>706</v>
      </c>
      <c r="B33" s="54"/>
      <c r="G33" s="56" t="n">
        <f aca="false">SUM(G27:G32)</f>
        <v>79.7837176272727</v>
      </c>
      <c r="H33" s="56" t="n">
        <f aca="false">SUM(H27:H32)</f>
        <v>91.0191307308251</v>
      </c>
      <c r="I33" s="56" t="n">
        <f aca="false">SUM(I27:I32)</f>
        <v>106.605987207703</v>
      </c>
      <c r="J33" s="56" t="n">
        <f aca="false">SUM(J27:J32)</f>
        <v>120.66956351989</v>
      </c>
      <c r="K33" s="56" t="n">
        <f aca="false">SUM(K27:K32)</f>
        <v>136.319305133629</v>
      </c>
    </row>
    <row r="34" customFormat="false" ht="15" hidden="false" customHeight="false" outlineLevel="0" collapsed="false">
      <c r="A34" s="51" t="s">
        <v>707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</row>
    <row r="35" customFormat="false" ht="15" hidden="false" customHeight="false" outlineLevel="0" collapsed="false">
      <c r="A35" s="53" t="s">
        <v>684</v>
      </c>
      <c r="B35" s="54"/>
      <c r="C35" s="23" t="n">
        <v>36</v>
      </c>
      <c r="D35" s="59" t="n">
        <f aca="false">C38</f>
        <v>60</v>
      </c>
      <c r="E35" s="59" t="n">
        <f aca="false">D38</f>
        <v>71</v>
      </c>
      <c r="F35" s="59" t="n">
        <f aca="false">E38</f>
        <v>60</v>
      </c>
      <c r="G35" s="59" t="n">
        <f aca="false">F38</f>
        <v>66</v>
      </c>
      <c r="H35" s="59" t="n">
        <f aca="false">G38</f>
        <v>75.93423636</v>
      </c>
      <c r="I35" s="59" t="n">
        <f aca="false">H38</f>
        <v>87.3425019728378</v>
      </c>
      <c r="J35" s="59" t="n">
        <f aca="false">I38</f>
        <v>100.201658566262</v>
      </c>
      <c r="K35" s="59" t="n">
        <f aca="false">J38</f>
        <v>114.481597590944</v>
      </c>
    </row>
    <row r="36" customFormat="false" ht="15" hidden="false" customHeight="false" outlineLevel="0" collapsed="false">
      <c r="A36" s="53" t="s">
        <v>708</v>
      </c>
      <c r="B36" s="54"/>
      <c r="C36" s="23" t="n">
        <v>23</v>
      </c>
      <c r="D36" s="23" t="n">
        <v>11</v>
      </c>
      <c r="E36" s="23" t="n">
        <v>5</v>
      </c>
      <c r="F36" s="23" t="n">
        <v>9</v>
      </c>
      <c r="G36" s="59" t="n">
        <f aca="false">G6*G45</f>
        <v>9.93423636</v>
      </c>
      <c r="H36" s="59" t="n">
        <f aca="false">H6*H45</f>
        <v>11.4082656128378</v>
      </c>
      <c r="I36" s="59" t="n">
        <f aca="false">I6*I45</f>
        <v>12.8591565934244</v>
      </c>
      <c r="J36" s="59" t="n">
        <f aca="false">J6*J45</f>
        <v>14.2799390246822</v>
      </c>
      <c r="K36" s="59" t="n">
        <f aca="false">K6*K45</f>
        <v>15.8905068693353</v>
      </c>
    </row>
    <row r="37" customFormat="false" ht="15" hidden="false" customHeight="false" outlineLevel="0" collapsed="false">
      <c r="A37" s="53" t="s">
        <v>686</v>
      </c>
      <c r="B37" s="54"/>
      <c r="C37" s="23" t="n">
        <v>0</v>
      </c>
      <c r="D37" s="23" t="n">
        <v>0</v>
      </c>
      <c r="E37" s="23" t="n">
        <v>16</v>
      </c>
      <c r="F37" s="23" t="n">
        <v>3</v>
      </c>
    </row>
    <row r="38" customFormat="false" ht="15" hidden="false" customHeight="false" outlineLevel="0" collapsed="false">
      <c r="A38" s="55" t="s">
        <v>688</v>
      </c>
      <c r="B38" s="54"/>
      <c r="C38" s="71" t="n">
        <v>60</v>
      </c>
      <c r="D38" s="71" t="n">
        <v>71</v>
      </c>
      <c r="E38" s="71" t="n">
        <v>60</v>
      </c>
      <c r="F38" s="71" t="n">
        <v>66</v>
      </c>
      <c r="G38" s="56" t="n">
        <f aca="false">G35+G36-N(G37)</f>
        <v>75.93423636</v>
      </c>
      <c r="H38" s="56" t="n">
        <f aca="false">H35+H36-N(H37)</f>
        <v>87.3425019728378</v>
      </c>
      <c r="I38" s="56" t="n">
        <f aca="false">I35+I36-N(I37)</f>
        <v>100.201658566262</v>
      </c>
      <c r="J38" s="56" t="n">
        <f aca="false">J35+J36-N(J37)</f>
        <v>114.481597590944</v>
      </c>
      <c r="K38" s="56" t="n">
        <f aca="false">K35+K36-N(K37)</f>
        <v>130.37210446028</v>
      </c>
    </row>
    <row r="39" customFormat="false" ht="15" hidden="false" customHeight="false" outlineLevel="0" collapsed="false">
      <c r="A39" s="51" t="s">
        <v>709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</row>
    <row r="40" customFormat="false" ht="15" hidden="false" customHeight="false" outlineLevel="0" collapsed="false">
      <c r="A40" s="53" t="s">
        <v>691</v>
      </c>
      <c r="B40" s="54"/>
      <c r="C40" s="23" t="n">
        <v>16</v>
      </c>
      <c r="D40" s="59" t="n">
        <f aca="false">C43</f>
        <v>24</v>
      </c>
      <c r="E40" s="59" t="n">
        <f aca="false">D43</f>
        <v>36</v>
      </c>
      <c r="F40" s="59" t="n">
        <f aca="false">E43</f>
        <v>26</v>
      </c>
      <c r="G40" s="59" t="n">
        <f aca="false">F43</f>
        <v>35</v>
      </c>
      <c r="H40" s="59" t="n">
        <f aca="false">G43</f>
        <v>48.0191766228571</v>
      </c>
      <c r="I40" s="59" t="n">
        <f aca="false">H43</f>
        <v>62.6681054761197</v>
      </c>
      <c r="J40" s="59" t="n">
        <f aca="false">I43</f>
        <v>79.1540566998714</v>
      </c>
      <c r="K40" s="59" t="n">
        <f aca="false">J43</f>
        <v>97.6799992128635</v>
      </c>
    </row>
    <row r="41" customFormat="false" ht="15" hidden="false" customHeight="false" outlineLevel="0" collapsed="false">
      <c r="A41" s="53" t="s">
        <v>692</v>
      </c>
      <c r="B41" s="54"/>
      <c r="C41" s="23" t="n">
        <v>8</v>
      </c>
      <c r="D41" s="23" t="n">
        <v>12</v>
      </c>
      <c r="E41" s="23" t="n">
        <v>7</v>
      </c>
      <c r="F41" s="23" t="n">
        <v>11</v>
      </c>
      <c r="G41" s="59" t="n">
        <f aca="false">G55</f>
        <v>13.0191766228571</v>
      </c>
      <c r="H41" s="59" t="n">
        <f aca="false">H55</f>
        <v>14.6489288532625</v>
      </c>
      <c r="I41" s="59" t="n">
        <f aca="false">I55</f>
        <v>16.4859512237517</v>
      </c>
      <c r="J41" s="59" t="n">
        <f aca="false">J55</f>
        <v>18.525942512992</v>
      </c>
      <c r="K41" s="59" t="n">
        <f aca="false">K55</f>
        <v>20.7960149228971</v>
      </c>
    </row>
    <row r="42" customFormat="false" ht="15" hidden="false" customHeight="false" outlineLevel="0" collapsed="false">
      <c r="A42" s="53" t="s">
        <v>686</v>
      </c>
      <c r="B42" s="54"/>
      <c r="C42" s="23" t="n">
        <v>0</v>
      </c>
      <c r="D42" s="23" t="n">
        <v>0</v>
      </c>
      <c r="E42" s="23" t="n">
        <v>16</v>
      </c>
      <c r="F42" s="23" t="n">
        <v>3</v>
      </c>
    </row>
    <row r="43" customFormat="false" ht="15" hidden="false" customHeight="false" outlineLevel="0" collapsed="false">
      <c r="A43" s="55" t="s">
        <v>694</v>
      </c>
      <c r="B43" s="54"/>
      <c r="C43" s="71" t="n">
        <v>24</v>
      </c>
      <c r="D43" s="71" t="n">
        <v>36</v>
      </c>
      <c r="E43" s="71" t="n">
        <v>26</v>
      </c>
      <c r="F43" s="71" t="n">
        <v>35</v>
      </c>
      <c r="G43" s="56" t="n">
        <f aca="false">G40+G41-N(G42)</f>
        <v>48.0191766228571</v>
      </c>
      <c r="H43" s="56" t="n">
        <f aca="false">H40+H41-N(H42)</f>
        <v>62.6681054761197</v>
      </c>
      <c r="I43" s="56" t="n">
        <f aca="false">I40+I41-N(I42)</f>
        <v>79.1540566998714</v>
      </c>
      <c r="J43" s="56" t="n">
        <f aca="false">J40+J41-N(J42)</f>
        <v>97.6799992128635</v>
      </c>
      <c r="K43" s="56" t="n">
        <f aca="false">K40+K41-N(K42)</f>
        <v>118.476014135761</v>
      </c>
    </row>
    <row r="44" customFormat="false" ht="15" hidden="false" customHeight="false" outlineLevel="0" collapsed="false">
      <c r="A44" s="55" t="s">
        <v>710</v>
      </c>
      <c r="B44" s="54"/>
      <c r="C44" s="56" t="n">
        <f aca="false">C38-C43</f>
        <v>36</v>
      </c>
      <c r="D44" s="56" t="n">
        <f aca="false">D38-D43</f>
        <v>35</v>
      </c>
      <c r="E44" s="56" t="n">
        <f aca="false">E38-E43</f>
        <v>34</v>
      </c>
      <c r="F44" s="56" t="n">
        <f aca="false">F38-F43</f>
        <v>31</v>
      </c>
      <c r="G44" s="67" t="n">
        <f aca="false">Hist_BS!F28+G36-G41</f>
        <v>28.9150597371429</v>
      </c>
      <c r="H44" s="56" t="n">
        <f aca="false">G44+H36-H41</f>
        <v>25.6743964967181</v>
      </c>
      <c r="I44" s="56" t="n">
        <f aca="false">H44+I36-I41</f>
        <v>22.0476018663907</v>
      </c>
      <c r="J44" s="56" t="n">
        <f aca="false">I44+J36-J41</f>
        <v>17.8015983780809</v>
      </c>
      <c r="K44" s="56" t="n">
        <f aca="false">J44+K36-K41</f>
        <v>12.8960903245191</v>
      </c>
    </row>
    <row r="45" customFormat="false" ht="15" hidden="false" customHeight="false" outlineLevel="0" collapsed="false">
      <c r="A45" s="53" t="s">
        <v>711</v>
      </c>
      <c r="B45" s="54"/>
      <c r="C45" s="72" t="n">
        <f aca="false">C36/C6</f>
        <v>0.00242130750605327</v>
      </c>
      <c r="D45" s="72" t="n">
        <f aca="false">D36/D6</f>
        <v>0.000881339636247096</v>
      </c>
      <c r="E45" s="72" t="n">
        <f aca="false">E36/E6</f>
        <v>0.000324401479270745</v>
      </c>
      <c r="F45" s="72" t="n">
        <f aca="false">F36/F6</f>
        <v>0.000631800631800632</v>
      </c>
      <c r="G45" s="63" t="n">
        <v>0.0006</v>
      </c>
      <c r="H45" s="63" t="n">
        <v>0.0006</v>
      </c>
      <c r="I45" s="63" t="n">
        <v>0.0006</v>
      </c>
      <c r="J45" s="63" t="n">
        <v>0.0006</v>
      </c>
      <c r="K45" s="63" t="n">
        <v>0.0006</v>
      </c>
    </row>
    <row r="46" customFormat="false" ht="15" hidden="false" customHeight="false" outlineLevel="0" collapsed="false">
      <c r="A46" s="53" t="s">
        <v>697</v>
      </c>
      <c r="B46" s="54"/>
      <c r="C46" s="72" t="n">
        <f aca="false">C41/C38</f>
        <v>0.133333333333333</v>
      </c>
      <c r="D46" s="72" t="n">
        <f aca="false">D41/D38</f>
        <v>0.169014084507042</v>
      </c>
      <c r="E46" s="72" t="n">
        <f aca="false">E41/E38</f>
        <v>0.116666666666667</v>
      </c>
      <c r="F46" s="72" t="n">
        <f aca="false">F41/F38</f>
        <v>0.166666666666667</v>
      </c>
      <c r="G46" s="72" t="n">
        <f aca="false">1/G47</f>
        <v>0.142857142857143</v>
      </c>
      <c r="H46" s="72" t="n">
        <f aca="false">1/H47</f>
        <v>0.142857142857143</v>
      </c>
      <c r="I46" s="72" t="n">
        <f aca="false">1/I47</f>
        <v>0.142857142857143</v>
      </c>
      <c r="J46" s="72" t="n">
        <f aca="false">1/J47</f>
        <v>0.142857142857143</v>
      </c>
      <c r="K46" s="72" t="n">
        <f aca="false">1/K47</f>
        <v>0.142857142857143</v>
      </c>
    </row>
    <row r="47" customFormat="false" ht="15" hidden="false" customHeight="false" outlineLevel="0" collapsed="false">
      <c r="A47" s="53" t="s">
        <v>698</v>
      </c>
      <c r="B47" s="54"/>
      <c r="C47" s="73" t="n">
        <f aca="false">1/C46</f>
        <v>7.5</v>
      </c>
      <c r="D47" s="73" t="n">
        <f aca="false">1/D46</f>
        <v>5.91666666666667</v>
      </c>
      <c r="E47" s="73" t="n">
        <f aca="false">1/E46</f>
        <v>8.57142857142857</v>
      </c>
      <c r="F47" s="73" t="n">
        <f aca="false">1/F46</f>
        <v>6</v>
      </c>
      <c r="G47" s="64" t="n">
        <v>7</v>
      </c>
      <c r="H47" s="64" t="n">
        <v>7</v>
      </c>
      <c r="I47" s="64" t="n">
        <v>7</v>
      </c>
      <c r="J47" s="64" t="n">
        <v>7</v>
      </c>
      <c r="K47" s="64" t="n">
        <v>7</v>
      </c>
    </row>
    <row r="48" customFormat="false" ht="15" hidden="false" customHeight="false" outlineLevel="0" collapsed="false">
      <c r="A48" s="51" t="s">
        <v>712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</row>
    <row r="49" customFormat="false" ht="15" hidden="false" customHeight="false" outlineLevel="0" collapsed="false">
      <c r="A49" s="53" t="s">
        <v>713</v>
      </c>
      <c r="B49" s="54"/>
      <c r="G49" s="74" t="n">
        <v>11.6</v>
      </c>
      <c r="H49" s="74" t="n">
        <v>11.6</v>
      </c>
      <c r="I49" s="74" t="n">
        <v>11.6</v>
      </c>
      <c r="J49" s="74" t="n">
        <v>11.6</v>
      </c>
      <c r="K49" s="74" t="n">
        <v>11.6</v>
      </c>
    </row>
    <row r="50" customFormat="false" ht="15" hidden="false" customHeight="false" outlineLevel="0" collapsed="false">
      <c r="A50" s="53" t="s">
        <v>714</v>
      </c>
      <c r="B50" s="54"/>
      <c r="G50" s="59" t="n">
        <f aca="false">$G$36/G$47</f>
        <v>1.41917662285714</v>
      </c>
      <c r="H50" s="59" t="n">
        <f aca="false">$G$36/H$47</f>
        <v>1.41917662285714</v>
      </c>
      <c r="I50" s="59" t="n">
        <f aca="false">$G$36/I$47</f>
        <v>1.41917662285714</v>
      </c>
      <c r="J50" s="59" t="n">
        <f aca="false">$G$36/J$47</f>
        <v>1.41917662285714</v>
      </c>
      <c r="K50" s="59" t="n">
        <f aca="false">$G$36/K$47</f>
        <v>1.41917662285714</v>
      </c>
    </row>
    <row r="51" customFormat="false" ht="15" hidden="false" customHeight="false" outlineLevel="0" collapsed="false">
      <c r="A51" s="53" t="s">
        <v>715</v>
      </c>
      <c r="B51" s="54"/>
      <c r="H51" s="59" t="n">
        <f aca="false">$H$36/H$47</f>
        <v>1.62975223040539</v>
      </c>
      <c r="I51" s="59" t="n">
        <f aca="false">$H$36/I$47</f>
        <v>1.62975223040539</v>
      </c>
      <c r="J51" s="59" t="n">
        <f aca="false">$H$36/J$47</f>
        <v>1.62975223040539</v>
      </c>
      <c r="K51" s="59" t="n">
        <f aca="false">$H$36/K$47</f>
        <v>1.62975223040539</v>
      </c>
    </row>
    <row r="52" customFormat="false" ht="15" hidden="false" customHeight="false" outlineLevel="0" collapsed="false">
      <c r="A52" s="53" t="s">
        <v>716</v>
      </c>
      <c r="B52" s="54"/>
      <c r="I52" s="59" t="n">
        <f aca="false">$I$36/I$47</f>
        <v>1.8370223704892</v>
      </c>
      <c r="J52" s="59" t="n">
        <f aca="false">$I$36/J$47</f>
        <v>1.8370223704892</v>
      </c>
      <c r="K52" s="59" t="n">
        <f aca="false">$I$36/K$47</f>
        <v>1.8370223704892</v>
      </c>
    </row>
    <row r="53" customFormat="false" ht="15" hidden="false" customHeight="false" outlineLevel="0" collapsed="false">
      <c r="A53" s="53" t="s">
        <v>717</v>
      </c>
      <c r="B53" s="54"/>
      <c r="J53" s="59" t="n">
        <f aca="false">$J$36/J$47</f>
        <v>2.03999128924031</v>
      </c>
      <c r="K53" s="59" t="n">
        <f aca="false">$J$36/K$47</f>
        <v>2.03999128924031</v>
      </c>
    </row>
    <row r="54" customFormat="false" ht="15" hidden="false" customHeight="false" outlineLevel="0" collapsed="false">
      <c r="A54" s="53" t="s">
        <v>718</v>
      </c>
      <c r="B54" s="54"/>
      <c r="K54" s="59" t="n">
        <f aca="false">$K$36/K$47</f>
        <v>2.27007240990504</v>
      </c>
    </row>
    <row r="55" customFormat="false" ht="15" hidden="false" customHeight="false" outlineLevel="0" collapsed="false">
      <c r="A55" s="55" t="s">
        <v>719</v>
      </c>
      <c r="B55" s="54"/>
      <c r="G55" s="56" t="n">
        <f aca="false">SUM(G49:G54)</f>
        <v>13.0191766228571</v>
      </c>
      <c r="H55" s="56" t="n">
        <f aca="false">SUM(H49:H54)</f>
        <v>14.6489288532625</v>
      </c>
      <c r="I55" s="56" t="n">
        <f aca="false">SUM(I49:I54)</f>
        <v>16.4859512237517</v>
      </c>
      <c r="J55" s="56" t="n">
        <f aca="false">SUM(J49:J54)</f>
        <v>18.525942512992</v>
      </c>
      <c r="K55" s="56" t="n">
        <f aca="false">SUM(K49:K54)</f>
        <v>20.7960149228971</v>
      </c>
    </row>
    <row r="56" customFormat="false" ht="15" hidden="false" customHeight="false" outlineLevel="0" collapsed="false">
      <c r="A56" s="51" t="s">
        <v>720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</row>
    <row r="57" customFormat="false" ht="15" hidden="false" customHeight="false" outlineLevel="0" collapsed="false">
      <c r="A57" s="5" t="s">
        <v>721</v>
      </c>
      <c r="B57" s="54"/>
      <c r="C57" s="68" t="n">
        <f aca="false">Hist_IS!C24</f>
        <v>40</v>
      </c>
      <c r="D57" s="68" t="n">
        <f aca="false">Hist_IS!D24</f>
        <v>48</v>
      </c>
      <c r="E57" s="68" t="n">
        <f aca="false">Hist_IS!E24</f>
        <v>62</v>
      </c>
      <c r="F57" s="68" t="n">
        <f aca="false">Hist_IS!F24</f>
        <v>84</v>
      </c>
      <c r="G57" s="69" t="n">
        <f aca="false">G16+G41</f>
        <v>92.8028942501299</v>
      </c>
      <c r="H57" s="69" t="n">
        <f aca="false">H16+H41</f>
        <v>105.668059584088</v>
      </c>
      <c r="I57" s="69" t="n">
        <f aca="false">I16+I41</f>
        <v>123.091938431455</v>
      </c>
      <c r="J57" s="69" t="n">
        <f aca="false">J16+J41</f>
        <v>139.195506032882</v>
      </c>
      <c r="K57" s="69" t="n">
        <f aca="false">K16+K41</f>
        <v>157.115320056526</v>
      </c>
    </row>
    <row r="58" customFormat="false" ht="15" hidden="false" customHeight="false" outlineLevel="0" collapsed="false">
      <c r="A58" s="5" t="s">
        <v>722</v>
      </c>
      <c r="B58" s="54"/>
      <c r="G58" s="69" t="n">
        <f aca="false">G9+G36</f>
        <v>225.17602416</v>
      </c>
      <c r="H58" s="69" t="n">
        <f aca="false">H9+H36</f>
        <v>258.587353890989</v>
      </c>
      <c r="I58" s="69" t="n">
        <f aca="false">I9+I36</f>
        <v>355.769999084741</v>
      </c>
      <c r="J58" s="69" t="n">
        <f aca="false">J9+J36</f>
        <v>323.678617892796</v>
      </c>
      <c r="K58" s="69" t="n">
        <f aca="false">K9+K36</f>
        <v>360.1848223716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1" min="3" style="0" width="11.5"/>
  </cols>
  <sheetData>
    <row r="1" customFormat="false" ht="17.35" hidden="false" customHeight="false" outlineLevel="0" collapsed="false">
      <c r="A1" s="17" t="s">
        <v>723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8" t="s">
        <v>483</v>
      </c>
    </row>
    <row r="4" customFormat="false" ht="15" hidden="false" customHeight="false" outlineLevel="0" collapsed="false">
      <c r="C4" s="48" t="s">
        <v>484</v>
      </c>
      <c r="G4" s="48" t="s">
        <v>597</v>
      </c>
    </row>
    <row r="5" customFormat="false" ht="15" hidden="false" customHeight="false" outlineLevel="0" collapsed="false">
      <c r="A5" s="49" t="s">
        <v>485</v>
      </c>
      <c r="B5" s="49" t="s">
        <v>486</v>
      </c>
      <c r="C5" s="50" t="s">
        <v>487</v>
      </c>
      <c r="D5" s="50" t="s">
        <v>488</v>
      </c>
      <c r="E5" s="50" t="s">
        <v>489</v>
      </c>
      <c r="F5" s="50" t="s">
        <v>490</v>
      </c>
      <c r="G5" s="60" t="s">
        <v>598</v>
      </c>
      <c r="H5" s="60" t="s">
        <v>599</v>
      </c>
      <c r="I5" s="60" t="s">
        <v>600</v>
      </c>
      <c r="J5" s="60" t="s">
        <v>601</v>
      </c>
      <c r="K5" s="60" t="s">
        <v>602</v>
      </c>
    </row>
    <row r="6" customFormat="false" ht="15" hidden="false" customHeight="false" outlineLevel="0" collapsed="false">
      <c r="A6" s="51" t="s">
        <v>724</v>
      </c>
      <c r="B6" s="52"/>
      <c r="C6" s="52"/>
      <c r="D6" s="52"/>
      <c r="E6" s="52"/>
      <c r="F6" s="52"/>
      <c r="G6" s="52"/>
      <c r="H6" s="52"/>
      <c r="I6" s="52"/>
      <c r="J6" s="52"/>
      <c r="K6" s="52"/>
    </row>
    <row r="7" customFormat="false" ht="15" hidden="false" customHeight="false" outlineLevel="0" collapsed="false">
      <c r="A7" s="53" t="s">
        <v>725</v>
      </c>
      <c r="B7" s="54"/>
      <c r="G7" s="59" t="n">
        <f aca="false">F10</f>
        <v>376</v>
      </c>
      <c r="H7" s="59" t="n">
        <f aca="false">G10</f>
        <v>319.6</v>
      </c>
      <c r="I7" s="59" t="n">
        <f aca="false">H10</f>
        <v>271.66</v>
      </c>
      <c r="J7" s="59" t="n">
        <f aca="false">I10</f>
        <v>230.911</v>
      </c>
      <c r="K7" s="59" t="n">
        <f aca="false">J10</f>
        <v>196.27435</v>
      </c>
    </row>
    <row r="8" customFormat="false" ht="15" hidden="false" customHeight="false" outlineLevel="0" collapsed="false">
      <c r="A8" s="53" t="s">
        <v>726</v>
      </c>
      <c r="B8" s="54"/>
      <c r="G8" s="74" t="n">
        <v>0</v>
      </c>
      <c r="H8" s="74" t="n">
        <v>0</v>
      </c>
      <c r="I8" s="74" t="n">
        <v>0</v>
      </c>
      <c r="J8" s="74" t="n">
        <v>0</v>
      </c>
      <c r="K8" s="74" t="n">
        <v>0</v>
      </c>
    </row>
    <row r="9" customFormat="false" ht="15" hidden="false" customHeight="false" outlineLevel="0" collapsed="false">
      <c r="A9" s="53" t="s">
        <v>727</v>
      </c>
      <c r="B9" s="54"/>
      <c r="G9" s="24" t="n">
        <f aca="false">G7*Assumptions!G34</f>
        <v>56.4</v>
      </c>
      <c r="H9" s="24" t="n">
        <f aca="false">H7*Assumptions!H34</f>
        <v>47.94</v>
      </c>
      <c r="I9" s="24" t="n">
        <f aca="false">I7*Assumptions!I34</f>
        <v>40.749</v>
      </c>
      <c r="J9" s="24" t="n">
        <f aca="false">J7*Assumptions!J34</f>
        <v>34.63665</v>
      </c>
      <c r="K9" s="24" t="n">
        <f aca="false">K7*Assumptions!K34</f>
        <v>29.4411525</v>
      </c>
    </row>
    <row r="10" customFormat="false" ht="15" hidden="false" customHeight="false" outlineLevel="0" collapsed="false">
      <c r="A10" s="55" t="s">
        <v>728</v>
      </c>
      <c r="B10" s="54"/>
      <c r="C10" s="67" t="n">
        <f aca="false">Hist_BS!C12</f>
        <v>21</v>
      </c>
      <c r="D10" s="67" t="n">
        <f aca="false">Hist_BS!D12</f>
        <v>228</v>
      </c>
      <c r="E10" s="67" t="n">
        <f aca="false">Hist_BS!E12</f>
        <v>383</v>
      </c>
      <c r="F10" s="67" t="n">
        <f aca="false">Hist_BS!F12</f>
        <v>376</v>
      </c>
      <c r="G10" s="56" t="n">
        <f aca="false">G7+G8-G9</f>
        <v>319.6</v>
      </c>
      <c r="H10" s="56" t="n">
        <f aca="false">H7+H8-H9</f>
        <v>271.66</v>
      </c>
      <c r="I10" s="56" t="n">
        <f aca="false">I7+I8-I9</f>
        <v>230.911</v>
      </c>
      <c r="J10" s="56" t="n">
        <f aca="false">J7+J8-J9</f>
        <v>196.27435</v>
      </c>
      <c r="K10" s="56" t="n">
        <f aca="false">K7+K8-K9</f>
        <v>166.8331975</v>
      </c>
    </row>
    <row r="12" customFormat="false" ht="15" hidden="false" customHeight="false" outlineLevel="0" collapsed="false">
      <c r="A12" s="51" t="s">
        <v>729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</row>
    <row r="13" customFormat="false" ht="15" hidden="false" customHeight="false" outlineLevel="0" collapsed="false">
      <c r="A13" s="53" t="s">
        <v>730</v>
      </c>
      <c r="B13" s="54"/>
      <c r="G13" s="59" t="n">
        <f aca="false">F15</f>
        <v>591</v>
      </c>
      <c r="H13" s="59" t="n">
        <f aca="false">G15</f>
        <v>647.50037101994</v>
      </c>
      <c r="I13" s="59" t="n">
        <f aca="false">H15</f>
        <v>737.697836484095</v>
      </c>
      <c r="J13" s="59" t="n">
        <f aca="false">I15</f>
        <v>817.062883068834</v>
      </c>
      <c r="K13" s="59" t="n">
        <f aca="false">J15</f>
        <v>922.80193634947</v>
      </c>
    </row>
    <row r="14" customFormat="false" ht="15" hidden="false" customHeight="false" outlineLevel="0" collapsed="false">
      <c r="A14" s="53" t="s">
        <v>731</v>
      </c>
      <c r="B14" s="54"/>
      <c r="G14" s="59" t="n">
        <f aca="false">G15-G13</f>
        <v>56.5003710199397</v>
      </c>
      <c r="H14" s="59" t="n">
        <f aca="false">H15-H13</f>
        <v>90.1974654641554</v>
      </c>
      <c r="I14" s="59" t="n">
        <f aca="false">I15-I13</f>
        <v>79.3650465847387</v>
      </c>
      <c r="J14" s="59" t="n">
        <f aca="false">J15-J13</f>
        <v>105.739053280636</v>
      </c>
      <c r="K14" s="59" t="n">
        <f aca="false">K15-K13</f>
        <v>81.0070422190245</v>
      </c>
    </row>
    <row r="15" customFormat="false" ht="15" hidden="false" customHeight="false" outlineLevel="0" collapsed="false">
      <c r="A15" s="55" t="s">
        <v>732</v>
      </c>
      <c r="B15" s="54"/>
      <c r="C15" s="67" t="n">
        <f aca="false">Hist_BS!C18</f>
        <v>595</v>
      </c>
      <c r="D15" s="67" t="n">
        <f aca="false">Hist_BS!D18</f>
        <v>485</v>
      </c>
      <c r="E15" s="67" t="n">
        <f aca="false">Hist_BS!E18</f>
        <v>481</v>
      </c>
      <c r="F15" s="67" t="n">
        <f aca="false">Hist_BS!F18</f>
        <v>591</v>
      </c>
      <c r="G15" s="67" t="n">
        <f aca="false">Assumptions!G35*(WC_Schedule!G15+WC_Schedule!G16)</f>
        <v>647.50037101994</v>
      </c>
      <c r="H15" s="67" t="n">
        <f aca="false">Assumptions!H35*(WC_Schedule!H15+WC_Schedule!H16)</f>
        <v>737.697836484095</v>
      </c>
      <c r="I15" s="67" t="n">
        <f aca="false">Assumptions!I35*(WC_Schedule!I15+WC_Schedule!I16)</f>
        <v>817.062883068834</v>
      </c>
      <c r="J15" s="67" t="n">
        <f aca="false">Assumptions!J35*(WC_Schedule!J15+WC_Schedule!J16)</f>
        <v>922.80193634947</v>
      </c>
      <c r="K15" s="67" t="n">
        <f aca="false">Assumptions!K35*(WC_Schedule!K15+WC_Schedule!K16)</f>
        <v>1003.80897856849</v>
      </c>
    </row>
    <row r="17" customFormat="false" ht="15" hidden="false" customHeight="false" outlineLevel="0" collapsed="false">
      <c r="A17" s="51" t="s">
        <v>733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</row>
    <row r="18" customFormat="false" ht="15" hidden="false" customHeight="false" outlineLevel="0" collapsed="false">
      <c r="A18" s="53" t="s">
        <v>734</v>
      </c>
      <c r="B18" s="54"/>
      <c r="G18" s="59" t="n">
        <f aca="false">F21</f>
        <v>15</v>
      </c>
      <c r="H18" s="59" t="n">
        <f aca="false">G21</f>
        <v>15</v>
      </c>
      <c r="I18" s="59" t="n">
        <f aca="false">H21</f>
        <v>15</v>
      </c>
      <c r="J18" s="59" t="n">
        <f aca="false">I21</f>
        <v>15</v>
      </c>
      <c r="K18" s="59" t="n">
        <f aca="false">J21</f>
        <v>15</v>
      </c>
    </row>
    <row r="19" customFormat="false" ht="15" hidden="false" customHeight="false" outlineLevel="0" collapsed="false">
      <c r="A19" s="53" t="s">
        <v>735</v>
      </c>
      <c r="B19" s="54"/>
      <c r="G19" s="74" t="n">
        <v>0</v>
      </c>
      <c r="H19" s="74" t="n">
        <v>0</v>
      </c>
      <c r="I19" s="74" t="n">
        <v>0</v>
      </c>
      <c r="J19" s="74" t="n">
        <v>0</v>
      </c>
      <c r="K19" s="74" t="n">
        <v>0</v>
      </c>
    </row>
    <row r="20" customFormat="false" ht="15" hidden="false" customHeight="false" outlineLevel="0" collapsed="false">
      <c r="A20" s="53" t="s">
        <v>736</v>
      </c>
      <c r="B20" s="54"/>
      <c r="G20" s="74" t="n">
        <v>0</v>
      </c>
      <c r="H20" s="74" t="n">
        <v>0</v>
      </c>
      <c r="I20" s="74" t="n">
        <v>0</v>
      </c>
      <c r="J20" s="74" t="n">
        <v>0</v>
      </c>
      <c r="K20" s="74" t="n">
        <v>0</v>
      </c>
    </row>
    <row r="21" customFormat="false" ht="15" hidden="false" customHeight="false" outlineLevel="0" collapsed="false">
      <c r="A21" s="55" t="s">
        <v>737</v>
      </c>
      <c r="B21" s="54"/>
      <c r="C21" s="67" t="n">
        <f aca="false">Hist_BS!C13</f>
        <v>25</v>
      </c>
      <c r="D21" s="67" t="n">
        <f aca="false">Hist_BS!D13</f>
        <v>21</v>
      </c>
      <c r="E21" s="67" t="n">
        <f aca="false">Hist_BS!E13</f>
        <v>18</v>
      </c>
      <c r="F21" s="67" t="n">
        <f aca="false">Hist_BS!F13</f>
        <v>15</v>
      </c>
      <c r="G21" s="56" t="n">
        <f aca="false">G18+G19-G20</f>
        <v>15</v>
      </c>
      <c r="H21" s="56" t="n">
        <f aca="false">H18+H19-H20</f>
        <v>15</v>
      </c>
      <c r="I21" s="56" t="n">
        <f aca="false">I18+I19-I20</f>
        <v>15</v>
      </c>
      <c r="J21" s="56" t="n">
        <f aca="false">J18+J19-J20</f>
        <v>15</v>
      </c>
      <c r="K21" s="56" t="n">
        <f aca="false">K18+K19-K20</f>
        <v>15</v>
      </c>
    </row>
    <row r="23" customFormat="false" ht="15" hidden="false" customHeight="false" outlineLevel="0" collapsed="false">
      <c r="A23" s="55" t="s">
        <v>738</v>
      </c>
      <c r="B23" s="54"/>
      <c r="C23" s="56" t="n">
        <f aca="false">C10+C15+C21</f>
        <v>641</v>
      </c>
      <c r="D23" s="56" t="n">
        <f aca="false">D10+D15+D21</f>
        <v>734</v>
      </c>
      <c r="E23" s="56" t="n">
        <f aca="false">E10+E15+E21</f>
        <v>882</v>
      </c>
      <c r="F23" s="56" t="n">
        <f aca="false">F10+F15+F21</f>
        <v>982</v>
      </c>
      <c r="G23" s="56" t="n">
        <f aca="false">G10+G15+G21</f>
        <v>982.10037101994</v>
      </c>
      <c r="H23" s="56" t="n">
        <f aca="false">H10+H15+H21</f>
        <v>1024.3578364841</v>
      </c>
      <c r="I23" s="56" t="n">
        <f aca="false">I10+I15+I21</f>
        <v>1062.97388306883</v>
      </c>
      <c r="J23" s="56" t="n">
        <f aca="false">J10+J15+J21</f>
        <v>1134.07628634947</v>
      </c>
      <c r="K23" s="56" t="n">
        <f aca="false">K10+K15+K21</f>
        <v>1185.64217606849</v>
      </c>
    </row>
    <row r="24" customFormat="false" ht="15" hidden="false" customHeight="false" outlineLevel="0" collapsed="false">
      <c r="A24" s="53" t="s">
        <v>739</v>
      </c>
      <c r="B24" s="54"/>
      <c r="C24" s="24" t="n">
        <f aca="false">Hist_BS!C19</f>
        <v>9</v>
      </c>
      <c r="D24" s="24" t="n">
        <f aca="false">Hist_BS!D19</f>
        <v>9</v>
      </c>
      <c r="E24" s="24" t="n">
        <f aca="false">Hist_BS!E19</f>
        <v>11</v>
      </c>
      <c r="F24" s="24" t="n">
        <f aca="false">Hist_BS!F19</f>
        <v>11</v>
      </c>
      <c r="G24" s="59" t="n">
        <f aca="false">F24</f>
        <v>11</v>
      </c>
      <c r="H24" s="59" t="n">
        <f aca="false">G24</f>
        <v>11</v>
      </c>
      <c r="I24" s="59" t="n">
        <f aca="false">H24</f>
        <v>11</v>
      </c>
      <c r="J24" s="59" t="n">
        <f aca="false">I24</f>
        <v>11</v>
      </c>
      <c r="K24" s="59" t="n">
        <f aca="false">J24</f>
        <v>11</v>
      </c>
    </row>
    <row r="25" customFormat="false" ht="15" hidden="false" customHeight="false" outlineLevel="0" collapsed="false">
      <c r="A25" s="5" t="s">
        <v>740</v>
      </c>
      <c r="B25" s="54"/>
      <c r="C25" s="69" t="n">
        <f aca="false">C23+C24</f>
        <v>650</v>
      </c>
      <c r="D25" s="69" t="n">
        <f aca="false">D23+D24</f>
        <v>743</v>
      </c>
      <c r="E25" s="69" t="n">
        <f aca="false">E23+E24</f>
        <v>893</v>
      </c>
      <c r="F25" s="69" t="n">
        <f aca="false">F23+F24</f>
        <v>993</v>
      </c>
      <c r="G25" s="69" t="n">
        <f aca="false">G23+G24</f>
        <v>993.10037101994</v>
      </c>
      <c r="H25" s="69" t="n">
        <f aca="false">H23+H24</f>
        <v>1035.3578364841</v>
      </c>
      <c r="I25" s="69" t="n">
        <f aca="false">I23+I24</f>
        <v>1073.97388306883</v>
      </c>
      <c r="J25" s="69" t="n">
        <f aca="false">J23+J24</f>
        <v>1145.07628634947</v>
      </c>
      <c r="K25" s="69" t="n">
        <f aca="false">K23+K24</f>
        <v>1196.64217606849</v>
      </c>
    </row>
    <row r="26" customFormat="false" ht="15" hidden="false" customHeight="false" outlineLevel="0" collapsed="false">
      <c r="A26" s="53" t="s">
        <v>741</v>
      </c>
      <c r="B26" s="54"/>
      <c r="C26" s="59" t="n">
        <f aca="false">C10+C15</f>
        <v>616</v>
      </c>
      <c r="D26" s="59" t="n">
        <f aca="false">D10+D15</f>
        <v>713</v>
      </c>
      <c r="E26" s="59" t="n">
        <f aca="false">E10+E15</f>
        <v>864</v>
      </c>
      <c r="F26" s="59" t="n">
        <f aca="false">F10+F15</f>
        <v>967</v>
      </c>
      <c r="G26" s="59" t="n">
        <f aca="false">G10+G15</f>
        <v>967.10037101994</v>
      </c>
      <c r="H26" s="59" t="n">
        <f aca="false">H10+H15</f>
        <v>1009.3578364841</v>
      </c>
      <c r="I26" s="59" t="n">
        <f aca="false">I10+I15</f>
        <v>1047.97388306883</v>
      </c>
      <c r="J26" s="59" t="n">
        <f aca="false">J10+J15</f>
        <v>1119.07628634947</v>
      </c>
      <c r="K26" s="59" t="n">
        <f aca="false">K10+K15</f>
        <v>1170.64217606849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1" min="3" style="0" width="11.5"/>
  </cols>
  <sheetData>
    <row r="1" customFormat="false" ht="17.35" hidden="false" customHeight="false" outlineLevel="0" collapsed="false">
      <c r="A1" s="17" t="s">
        <v>742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8" t="s">
        <v>483</v>
      </c>
    </row>
    <row r="4" customFormat="false" ht="15" hidden="false" customHeight="false" outlineLevel="0" collapsed="false">
      <c r="C4" s="48" t="s">
        <v>484</v>
      </c>
      <c r="G4" s="48" t="s">
        <v>597</v>
      </c>
    </row>
    <row r="5" customFormat="false" ht="15" hidden="false" customHeight="false" outlineLevel="0" collapsed="false">
      <c r="A5" s="49" t="s">
        <v>485</v>
      </c>
      <c r="B5" s="49" t="s">
        <v>486</v>
      </c>
      <c r="C5" s="50" t="s">
        <v>487</v>
      </c>
      <c r="D5" s="50" t="s">
        <v>488</v>
      </c>
      <c r="E5" s="50" t="s">
        <v>489</v>
      </c>
      <c r="F5" s="50" t="s">
        <v>490</v>
      </c>
      <c r="G5" s="60" t="s">
        <v>598</v>
      </c>
      <c r="H5" s="60" t="s">
        <v>599</v>
      </c>
      <c r="I5" s="60" t="s">
        <v>600</v>
      </c>
      <c r="J5" s="60" t="s">
        <v>601</v>
      </c>
      <c r="K5" s="60" t="s">
        <v>602</v>
      </c>
    </row>
    <row r="6" customFormat="false" ht="15" hidden="false" customHeight="false" outlineLevel="0" collapsed="false">
      <c r="A6" s="53" t="s">
        <v>532</v>
      </c>
      <c r="B6" s="54"/>
      <c r="C6" s="24" t="n">
        <f aca="false">Hist_BS!C7</f>
        <v>33</v>
      </c>
      <c r="D6" s="24" t="n">
        <f aca="false">Hist_BS!D7</f>
        <v>33</v>
      </c>
      <c r="E6" s="24" t="n">
        <f aca="false">Hist_BS!E7</f>
        <v>33</v>
      </c>
      <c r="F6" s="24" t="n">
        <f aca="false">Hist_BS!F7</f>
        <v>33</v>
      </c>
      <c r="G6" s="59" t="n">
        <f aca="false">F6</f>
        <v>33</v>
      </c>
      <c r="H6" s="59" t="n">
        <f aca="false">G6</f>
        <v>33</v>
      </c>
      <c r="I6" s="59" t="n">
        <f aca="false">H6</f>
        <v>33</v>
      </c>
      <c r="J6" s="59" t="n">
        <f aca="false">I6</f>
        <v>33</v>
      </c>
      <c r="K6" s="59" t="n">
        <f aca="false">J6</f>
        <v>33</v>
      </c>
    </row>
    <row r="7" customFormat="false" ht="15" hidden="false" customHeight="false" outlineLevel="0" collapsed="false">
      <c r="A7" s="53" t="s">
        <v>743</v>
      </c>
      <c r="B7" s="54"/>
      <c r="C7" s="24" t="n">
        <f aca="false">Hist_BS!C9</f>
        <v>42</v>
      </c>
      <c r="D7" s="24" t="n">
        <f aca="false">Hist_BS!D9</f>
        <v>34</v>
      </c>
      <c r="E7" s="24" t="n">
        <f aca="false">Hist_BS!E9</f>
        <v>27</v>
      </c>
      <c r="F7" s="24" t="n">
        <f aca="false">Hist_BS!F9</f>
        <v>23</v>
      </c>
      <c r="G7" s="59" t="n">
        <f aca="false">F7</f>
        <v>23</v>
      </c>
      <c r="H7" s="59" t="n">
        <f aca="false">G7</f>
        <v>23</v>
      </c>
      <c r="I7" s="59" t="n">
        <f aca="false">H7</f>
        <v>23</v>
      </c>
      <c r="J7" s="59" t="n">
        <f aca="false">I7</f>
        <v>23</v>
      </c>
      <c r="K7" s="59" t="n">
        <f aca="false">J7</f>
        <v>23</v>
      </c>
    </row>
    <row r="8" customFormat="false" ht="15" hidden="false" customHeight="false" outlineLevel="0" collapsed="false">
      <c r="A8" s="51" t="s">
        <v>744</v>
      </c>
      <c r="B8" s="52"/>
      <c r="C8" s="52"/>
      <c r="D8" s="52"/>
      <c r="E8" s="52"/>
      <c r="F8" s="52"/>
      <c r="G8" s="52"/>
      <c r="H8" s="52"/>
      <c r="I8" s="52"/>
      <c r="J8" s="52"/>
      <c r="K8" s="52"/>
    </row>
    <row r="9" customFormat="false" ht="15" hidden="false" customHeight="false" outlineLevel="0" collapsed="false">
      <c r="A9" s="53" t="s">
        <v>745</v>
      </c>
      <c r="B9" s="54"/>
      <c r="G9" s="59" t="n">
        <f aca="false">F13</f>
        <v>6343</v>
      </c>
      <c r="H9" s="59" t="n">
        <f aca="false">G13</f>
        <v>6945.28454612291</v>
      </c>
      <c r="I9" s="59" t="n">
        <f aca="false">H13</f>
        <v>7732.0328264347</v>
      </c>
      <c r="J9" s="59" t="n">
        <f aca="false">I13</f>
        <v>8727.05286376526</v>
      </c>
      <c r="K9" s="59" t="n">
        <f aca="false">J13</f>
        <v>9833.35191302672</v>
      </c>
    </row>
    <row r="10" customFormat="false" ht="15" hidden="false" customHeight="false" outlineLevel="0" collapsed="false">
      <c r="A10" s="53" t="s">
        <v>746</v>
      </c>
      <c r="B10" s="54"/>
      <c r="G10" s="24" t="n">
        <f aca="false">Income_Statement!G27</f>
        <v>734.604546122909</v>
      </c>
      <c r="H10" s="24" t="n">
        <f aca="false">Income_Statement!H27</f>
        <v>919.068280311795</v>
      </c>
      <c r="I10" s="24" t="n">
        <f aca="false">Income_Statement!I27</f>
        <v>1127.34003733056</v>
      </c>
      <c r="J10" s="24" t="n">
        <f aca="false">Income_Statement!J27</f>
        <v>1238.61904926145</v>
      </c>
      <c r="K10" s="24" t="n">
        <f aca="false">Income_Statement!K27</f>
        <v>1429.74464787885</v>
      </c>
    </row>
    <row r="11" customFormat="false" ht="15" hidden="false" customHeight="false" outlineLevel="0" collapsed="false">
      <c r="A11" s="53" t="s">
        <v>747</v>
      </c>
      <c r="B11" s="54"/>
      <c r="G11" s="28" t="n">
        <f aca="false">Assumptions!G41</f>
        <v>4</v>
      </c>
      <c r="H11" s="28" t="n">
        <f aca="false">Assumptions!H41</f>
        <v>4</v>
      </c>
      <c r="I11" s="28" t="n">
        <f aca="false">Assumptions!I41</f>
        <v>4</v>
      </c>
      <c r="J11" s="28" t="n">
        <f aca="false">Assumptions!J41</f>
        <v>4</v>
      </c>
      <c r="K11" s="28" t="n">
        <f aca="false">Assumptions!K41</f>
        <v>4</v>
      </c>
    </row>
    <row r="12" customFormat="false" ht="15" hidden="false" customHeight="false" outlineLevel="0" collapsed="false">
      <c r="A12" s="53" t="s">
        <v>748</v>
      </c>
      <c r="B12" s="54"/>
      <c r="G12" s="24" t="n">
        <f aca="false">G11*Assumptions!$C$9</f>
        <v>132.32</v>
      </c>
      <c r="H12" s="24" t="n">
        <f aca="false">H11*Assumptions!$C$9</f>
        <v>132.32</v>
      </c>
      <c r="I12" s="24" t="n">
        <f aca="false">I11*Assumptions!$C$9</f>
        <v>132.32</v>
      </c>
      <c r="J12" s="24" t="n">
        <f aca="false">J11*Assumptions!$C$9</f>
        <v>132.32</v>
      </c>
      <c r="K12" s="24" t="n">
        <f aca="false">K11*Assumptions!$C$9</f>
        <v>132.32</v>
      </c>
    </row>
    <row r="13" customFormat="false" ht="15" hidden="false" customHeight="false" outlineLevel="0" collapsed="false">
      <c r="A13" s="55" t="s">
        <v>749</v>
      </c>
      <c r="B13" s="54"/>
      <c r="C13" s="67" t="n">
        <f aca="false">Hist_BS!C8</f>
        <v>5419</v>
      </c>
      <c r="D13" s="67" t="n">
        <f aca="false">Hist_BS!D8</f>
        <v>5787</v>
      </c>
      <c r="E13" s="67" t="n">
        <f aca="false">Hist_BS!E8</f>
        <v>6480</v>
      </c>
      <c r="F13" s="67" t="n">
        <f aca="false">Hist_BS!F8</f>
        <v>6343</v>
      </c>
      <c r="G13" s="56" t="n">
        <f aca="false">G9+G10-G12</f>
        <v>6945.28454612291</v>
      </c>
      <c r="H13" s="56" t="n">
        <f aca="false">H9+H10-H12</f>
        <v>7732.0328264347</v>
      </c>
      <c r="I13" s="56" t="n">
        <f aca="false">I9+I10-I12</f>
        <v>8727.05286376526</v>
      </c>
      <c r="J13" s="56" t="n">
        <f aca="false">J9+J10-J12</f>
        <v>9833.35191302672</v>
      </c>
      <c r="K13" s="56" t="n">
        <f aca="false">K9+K10-K12</f>
        <v>11130.7765609056</v>
      </c>
    </row>
    <row r="14" customFormat="false" ht="15" hidden="false" customHeight="false" outlineLevel="0" collapsed="false">
      <c r="A14" s="55" t="s">
        <v>535</v>
      </c>
      <c r="B14" s="54"/>
      <c r="C14" s="56" t="n">
        <f aca="false">C6+C13+C7</f>
        <v>5494</v>
      </c>
      <c r="D14" s="56" t="n">
        <f aca="false">D6+D13+D7</f>
        <v>5854</v>
      </c>
      <c r="E14" s="56" t="n">
        <f aca="false">E6+E13+E7</f>
        <v>6540</v>
      </c>
      <c r="F14" s="56" t="n">
        <f aca="false">F6+F13+F7</f>
        <v>6399</v>
      </c>
      <c r="G14" s="56" t="n">
        <f aca="false">G6+G13+G7</f>
        <v>7001.28454612291</v>
      </c>
      <c r="H14" s="56" t="n">
        <f aca="false">H6+H13+H7</f>
        <v>7788.0328264347</v>
      </c>
      <c r="I14" s="56" t="n">
        <f aca="false">I6+I13+I7</f>
        <v>8783.05286376526</v>
      </c>
      <c r="J14" s="56" t="n">
        <f aca="false">J6+J13+J7</f>
        <v>9889.35191302672</v>
      </c>
      <c r="K14" s="56" t="n">
        <f aca="false">K6+K13+K7</f>
        <v>11186.7765609056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1" min="3" style="0" width="11.5"/>
  </cols>
  <sheetData>
    <row r="1" customFormat="false" ht="17.35" hidden="false" customHeight="false" outlineLevel="0" collapsed="false">
      <c r="A1" s="17" t="s">
        <v>750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8" t="s">
        <v>483</v>
      </c>
    </row>
    <row r="4" customFormat="false" ht="15" hidden="false" customHeight="false" outlineLevel="0" collapsed="false">
      <c r="C4" s="48" t="s">
        <v>484</v>
      </c>
      <c r="G4" s="48" t="s">
        <v>597</v>
      </c>
    </row>
    <row r="5" customFormat="false" ht="15" hidden="false" customHeight="false" outlineLevel="0" collapsed="false">
      <c r="A5" s="49" t="s">
        <v>485</v>
      </c>
      <c r="B5" s="49" t="s">
        <v>486</v>
      </c>
      <c r="C5" s="50" t="s">
        <v>487</v>
      </c>
      <c r="D5" s="50" t="s">
        <v>488</v>
      </c>
      <c r="E5" s="50" t="s">
        <v>489</v>
      </c>
      <c r="F5" s="50" t="s">
        <v>490</v>
      </c>
      <c r="G5" s="60" t="s">
        <v>598</v>
      </c>
      <c r="H5" s="60" t="s">
        <v>599</v>
      </c>
      <c r="I5" s="60" t="s">
        <v>600</v>
      </c>
      <c r="J5" s="60" t="s">
        <v>601</v>
      </c>
      <c r="K5" s="60" t="s">
        <v>602</v>
      </c>
    </row>
    <row r="6" customFormat="false" ht="15" hidden="false" customHeight="false" outlineLevel="0" collapsed="false">
      <c r="A6" s="5" t="s">
        <v>498</v>
      </c>
      <c r="B6" s="54"/>
      <c r="C6" s="68" t="n">
        <f aca="false">Revenue_Build!C24</f>
        <v>9499</v>
      </c>
      <c r="D6" s="68" t="n">
        <f aca="false">Revenue_Build!D24</f>
        <v>12481</v>
      </c>
      <c r="E6" s="68" t="n">
        <f aca="false">Revenue_Build!E24</f>
        <v>15413</v>
      </c>
      <c r="F6" s="68" t="n">
        <f aca="false">Revenue_Build!F24</f>
        <v>14245</v>
      </c>
      <c r="G6" s="68" t="n">
        <f aca="false">Revenue_Build!G24</f>
        <v>16557.0606</v>
      </c>
      <c r="H6" s="68" t="n">
        <f aca="false">Revenue_Build!H24</f>
        <v>19013.7760213963</v>
      </c>
      <c r="I6" s="68" t="n">
        <f aca="false">Revenue_Build!I24</f>
        <v>21431.9276557073</v>
      </c>
      <c r="J6" s="68" t="n">
        <f aca="false">Revenue_Build!J24</f>
        <v>23799.8983744703</v>
      </c>
      <c r="K6" s="68" t="n">
        <f aca="false">Revenue_Build!K24</f>
        <v>26484.1781155588</v>
      </c>
    </row>
    <row r="7" customFormat="false" ht="15" hidden="false" customHeight="false" outlineLevel="0" collapsed="false">
      <c r="A7" s="53" t="s">
        <v>751</v>
      </c>
      <c r="B7" s="54"/>
      <c r="D7" s="31" t="n">
        <f aca="false">D6/C6-1</f>
        <v>0.313927781871776</v>
      </c>
      <c r="E7" s="31" t="n">
        <f aca="false">E6/D6-1</f>
        <v>0.234917073952408</v>
      </c>
      <c r="F7" s="31" t="n">
        <f aca="false">F6/E6-1</f>
        <v>-0.0757801855576461</v>
      </c>
      <c r="G7" s="31" t="n">
        <f aca="false">G6/F6-1</f>
        <v>0.162306816426816</v>
      </c>
      <c r="H7" s="31" t="n">
        <f aca="false">H6/G6-1</f>
        <v>0.148378717741497</v>
      </c>
      <c r="I7" s="31" t="n">
        <f aca="false">I6/H6-1</f>
        <v>0.127178927088965</v>
      </c>
      <c r="J7" s="31" t="n">
        <f aca="false">J6/I6-1</f>
        <v>0.110487995144589</v>
      </c>
      <c r="K7" s="31" t="n">
        <f aca="false">K6/J6-1</f>
        <v>0.11278534466214</v>
      </c>
    </row>
    <row r="9" customFormat="false" ht="15" hidden="false" customHeight="false" outlineLevel="0" collapsed="false">
      <c r="A9" s="53" t="s">
        <v>663</v>
      </c>
      <c r="B9" s="54"/>
      <c r="C9" s="24" t="n">
        <f aca="false">Cost_Schedule!C9</f>
        <v>7378</v>
      </c>
      <c r="D9" s="24" t="n">
        <f aca="false">Cost_Schedule!D9</f>
        <v>9814</v>
      </c>
      <c r="E9" s="24" t="n">
        <f aca="false">Cost_Schedule!E9</f>
        <v>11960</v>
      </c>
      <c r="F9" s="24" t="n">
        <f aca="false">Cost_Schedule!F9</f>
        <v>11069</v>
      </c>
      <c r="G9" s="24" t="n">
        <f aca="false">Cost_Schedule!G9</f>
        <v>12864.8360862</v>
      </c>
      <c r="H9" s="24" t="n">
        <f aca="false">Cost_Schedule!H9</f>
        <v>14754.6901926035</v>
      </c>
      <c r="I9" s="24" t="n">
        <f aca="false">Cost_Schedule!I9</f>
        <v>16609.7439331732</v>
      </c>
      <c r="J9" s="24" t="n">
        <f aca="false">Cost_Schedule!J9</f>
        <v>18444.9212402145</v>
      </c>
      <c r="K9" s="24" t="n">
        <f aca="false">Cost_Schedule!K9</f>
        <v>20498.7538614425</v>
      </c>
    </row>
    <row r="10" customFormat="false" ht="15" hidden="false" customHeight="false" outlineLevel="0" collapsed="false">
      <c r="A10" s="53" t="s">
        <v>503</v>
      </c>
      <c r="B10" s="54"/>
      <c r="C10" s="24" t="n">
        <f aca="false">Cost_Schedule!C12</f>
        <v>667</v>
      </c>
      <c r="D10" s="24" t="n">
        <f aca="false">Cost_Schedule!D12</f>
        <v>779</v>
      </c>
      <c r="E10" s="24" t="n">
        <f aca="false">Cost_Schedule!E12</f>
        <v>890</v>
      </c>
      <c r="F10" s="24" t="n">
        <f aca="false">Cost_Schedule!F12</f>
        <v>939</v>
      </c>
      <c r="G10" s="24" t="n">
        <f aca="false">Cost_Schedule!G12</f>
        <v>993.423636</v>
      </c>
      <c r="H10" s="24" t="n">
        <f aca="false">Cost_Schedule!H12</f>
        <v>1140.82656128378</v>
      </c>
      <c r="I10" s="24" t="n">
        <f aca="false">Cost_Schedule!I12</f>
        <v>1285.91565934244</v>
      </c>
      <c r="J10" s="24" t="n">
        <f aca="false">Cost_Schedule!J12</f>
        <v>1427.99390246822</v>
      </c>
      <c r="K10" s="24" t="n">
        <f aca="false">Cost_Schedule!K12</f>
        <v>1589.05068693353</v>
      </c>
    </row>
    <row r="11" customFormat="false" ht="15" hidden="false" customHeight="false" outlineLevel="0" collapsed="false">
      <c r="A11" s="53" t="s">
        <v>752</v>
      </c>
      <c r="B11" s="54"/>
      <c r="C11" s="24" t="n">
        <f aca="false">Cost_Schedule!C15</f>
        <v>881</v>
      </c>
      <c r="D11" s="24" t="n">
        <f aca="false">Cost_Schedule!D15</f>
        <v>1414</v>
      </c>
      <c r="E11" s="24" t="n">
        <f aca="false">Cost_Schedule!E15</f>
        <v>1446</v>
      </c>
      <c r="F11" s="24" t="n">
        <f aca="false">Cost_Schedule!F15</f>
        <v>1589</v>
      </c>
      <c r="G11" s="24" t="n">
        <f aca="false">Cost_Schedule!G15</f>
        <v>1655.70606</v>
      </c>
      <c r="H11" s="24" t="n">
        <f aca="false">Cost_Schedule!H15</f>
        <v>1806.30872203264</v>
      </c>
      <c r="I11" s="24" t="n">
        <f aca="false">Cost_Schedule!I15</f>
        <v>1993.16927198078</v>
      </c>
      <c r="J11" s="24" t="n">
        <f aca="false">Cost_Schedule!J15</f>
        <v>2213.39054882574</v>
      </c>
      <c r="K11" s="24" t="n">
        <f aca="false">Cost_Schedule!K15</f>
        <v>2463.02856474697</v>
      </c>
    </row>
    <row r="12" customFormat="false" ht="15" hidden="false" customHeight="false" outlineLevel="0" collapsed="false">
      <c r="A12" s="55" t="s">
        <v>667</v>
      </c>
      <c r="B12" s="54"/>
      <c r="C12" s="56" t="n">
        <f aca="false">SUM(C9:C11)</f>
        <v>8926</v>
      </c>
      <c r="D12" s="56" t="n">
        <f aca="false">SUM(D9:D11)</f>
        <v>12007</v>
      </c>
      <c r="E12" s="56" t="n">
        <f aca="false">SUM(E9:E11)</f>
        <v>14296</v>
      </c>
      <c r="F12" s="56" t="n">
        <f aca="false">SUM(F9:F11)</f>
        <v>13597</v>
      </c>
      <c r="G12" s="56" t="n">
        <f aca="false">SUM(G9:G11)</f>
        <v>15513.9657822</v>
      </c>
      <c r="H12" s="56" t="n">
        <f aca="false">SUM(H9:H11)</f>
        <v>17701.8254759199</v>
      </c>
      <c r="I12" s="56" t="n">
        <f aca="false">SUM(I9:I11)</f>
        <v>19888.8288644964</v>
      </c>
      <c r="J12" s="56" t="n">
        <f aca="false">SUM(J9:J11)</f>
        <v>22086.3056915084</v>
      </c>
      <c r="K12" s="56" t="n">
        <f aca="false">SUM(K9:K11)</f>
        <v>24550.833113123</v>
      </c>
    </row>
    <row r="14" customFormat="false" ht="15" hidden="false" customHeight="false" outlineLevel="0" collapsed="false">
      <c r="A14" s="55" t="s">
        <v>507</v>
      </c>
      <c r="B14" s="54"/>
      <c r="C14" s="56" t="n">
        <f aca="false">C6-C12</f>
        <v>573</v>
      </c>
      <c r="D14" s="56" t="n">
        <f aca="false">D6-D12</f>
        <v>474</v>
      </c>
      <c r="E14" s="56" t="n">
        <f aca="false">E6-E12</f>
        <v>1117</v>
      </c>
      <c r="F14" s="56" t="n">
        <f aca="false">F6-F12</f>
        <v>648</v>
      </c>
      <c r="G14" s="56" t="n">
        <f aca="false">G6-G12</f>
        <v>1043.0948178</v>
      </c>
      <c r="H14" s="56" t="n">
        <f aca="false">H6-H12</f>
        <v>1311.95054547634</v>
      </c>
      <c r="I14" s="56" t="n">
        <f aca="false">I6-I12</f>
        <v>1543.09879121093</v>
      </c>
      <c r="J14" s="56" t="n">
        <f aca="false">J6-J12</f>
        <v>1713.59268296186</v>
      </c>
      <c r="K14" s="56" t="n">
        <f aca="false">K6-K12</f>
        <v>1933.34500243579</v>
      </c>
    </row>
    <row r="15" customFormat="false" ht="15" hidden="false" customHeight="false" outlineLevel="0" collapsed="false">
      <c r="A15" s="53" t="s">
        <v>508</v>
      </c>
      <c r="B15" s="54"/>
      <c r="C15" s="31" t="n">
        <f aca="false">C14/C6</f>
        <v>0.0603221391725445</v>
      </c>
      <c r="D15" s="31" t="n">
        <f aca="false">D14/D6</f>
        <v>0.0379777261437385</v>
      </c>
      <c r="E15" s="31" t="n">
        <f aca="false">E14/E6</f>
        <v>0.0724712904690845</v>
      </c>
      <c r="F15" s="31" t="n">
        <f aca="false">F14/F6</f>
        <v>0.0454896454896455</v>
      </c>
      <c r="G15" s="31" t="n">
        <f aca="false">G14/G6</f>
        <v>0.063</v>
      </c>
      <c r="H15" s="31" t="n">
        <f aca="false">H14/H6</f>
        <v>0.069</v>
      </c>
      <c r="I15" s="31" t="n">
        <f aca="false">I14/I6</f>
        <v>0.072</v>
      </c>
      <c r="J15" s="31" t="n">
        <f aca="false">J14/J6</f>
        <v>0.0719999999999999</v>
      </c>
      <c r="K15" s="31" t="n">
        <f aca="false">K14/K6</f>
        <v>0.0729999999999999</v>
      </c>
    </row>
    <row r="16" customFormat="false" ht="15" hidden="false" customHeight="false" outlineLevel="0" collapsed="false">
      <c r="A16" s="53" t="s">
        <v>509</v>
      </c>
      <c r="B16" s="54"/>
      <c r="C16" s="24" t="n">
        <f aca="false">Hist_IS!C24</f>
        <v>40</v>
      </c>
      <c r="D16" s="24" t="n">
        <f aca="false">Hist_IS!D24</f>
        <v>48</v>
      </c>
      <c r="E16" s="24" t="n">
        <f aca="false">Hist_IS!E24</f>
        <v>62</v>
      </c>
      <c r="F16" s="24" t="n">
        <f aca="false">Hist_IS!F24</f>
        <v>84</v>
      </c>
      <c r="G16" s="24" t="n">
        <f aca="false">Capex_Dep!G57</f>
        <v>92.8028942501299</v>
      </c>
      <c r="H16" s="24" t="n">
        <f aca="false">Capex_Dep!H57</f>
        <v>105.668059584088</v>
      </c>
      <c r="I16" s="24" t="n">
        <f aca="false">Capex_Dep!I57</f>
        <v>123.091938431455</v>
      </c>
      <c r="J16" s="24" t="n">
        <f aca="false">Capex_Dep!J57</f>
        <v>139.195506032882</v>
      </c>
      <c r="K16" s="24" t="n">
        <f aca="false">Capex_Dep!K57</f>
        <v>157.115320056526</v>
      </c>
    </row>
    <row r="17" customFormat="false" ht="15" hidden="false" customHeight="false" outlineLevel="0" collapsed="false">
      <c r="A17" s="55" t="s">
        <v>510</v>
      </c>
      <c r="B17" s="54"/>
      <c r="C17" s="56" t="n">
        <f aca="false">C14-C16</f>
        <v>533</v>
      </c>
      <c r="D17" s="56" t="n">
        <f aca="false">D14-D16</f>
        <v>426</v>
      </c>
      <c r="E17" s="56" t="n">
        <f aca="false">E14-E16</f>
        <v>1055</v>
      </c>
      <c r="F17" s="56" t="n">
        <f aca="false">F14-F16</f>
        <v>564</v>
      </c>
      <c r="G17" s="56" t="n">
        <f aca="false">G14-G16</f>
        <v>950.29192354987</v>
      </c>
      <c r="H17" s="56" t="n">
        <f aca="false">H14-H16</f>
        <v>1206.28248589225</v>
      </c>
      <c r="I17" s="56" t="n">
        <f aca="false">I14-I16</f>
        <v>1420.00685277947</v>
      </c>
      <c r="J17" s="56" t="n">
        <f aca="false">J14-J16</f>
        <v>1574.39717692898</v>
      </c>
      <c r="K17" s="56" t="n">
        <f aca="false">K14-K16</f>
        <v>1776.22968237927</v>
      </c>
    </row>
    <row r="18" customFormat="false" ht="15" hidden="false" customHeight="false" outlineLevel="0" collapsed="false">
      <c r="A18" s="53" t="s">
        <v>528</v>
      </c>
      <c r="B18" s="54"/>
      <c r="C18" s="31" t="n">
        <f aca="false">C17/C6</f>
        <v>0.0561111695967997</v>
      </c>
      <c r="D18" s="31" t="n">
        <f aca="false">D17/D6</f>
        <v>0.0341318804582966</v>
      </c>
      <c r="E18" s="31" t="n">
        <f aca="false">E17/E6</f>
        <v>0.0684487121261273</v>
      </c>
      <c r="F18" s="31" t="n">
        <f aca="false">F17/F6</f>
        <v>0.0395928395928396</v>
      </c>
      <c r="G18" s="31" t="n">
        <f aca="false">G17/G6</f>
        <v>0.0573949655985357</v>
      </c>
      <c r="H18" s="31" t="n">
        <f aca="false">H17/H6</f>
        <v>0.0634425526278852</v>
      </c>
      <c r="I18" s="31" t="n">
        <f aca="false">I17/I6</f>
        <v>0.0662566090923382</v>
      </c>
      <c r="J18" s="31" t="n">
        <f aca="false">J17/J6</f>
        <v>0.066151424353047</v>
      </c>
      <c r="K18" s="31" t="n">
        <f aca="false">K17/K6</f>
        <v>0.0670675780320241</v>
      </c>
    </row>
    <row r="19" customFormat="false" ht="15" hidden="false" customHeight="false" outlineLevel="0" collapsed="false">
      <c r="A19" s="53" t="s">
        <v>511</v>
      </c>
      <c r="B19" s="54"/>
      <c r="C19" s="24" t="n">
        <f aca="false">Hist_IS!C26</f>
        <v>30</v>
      </c>
      <c r="D19" s="24" t="n">
        <f aca="false">Hist_IS!D26</f>
        <v>56</v>
      </c>
      <c r="E19" s="24" t="n">
        <f aca="false">Hist_IS!E26</f>
        <v>62</v>
      </c>
      <c r="F19" s="24" t="n">
        <f aca="false">Hist_IS!F26</f>
        <v>87</v>
      </c>
      <c r="G19" s="24" t="n">
        <f aca="false">G6*Assumptions!G38</f>
        <v>100.99806966</v>
      </c>
      <c r="H19" s="24" t="n">
        <f aca="false">H6*Assumptions!H38</f>
        <v>104.575768117679</v>
      </c>
      <c r="I19" s="24" t="n">
        <f aca="false">I6*Assumptions!I38</f>
        <v>107.159638278537</v>
      </c>
      <c r="J19" s="24" t="n">
        <f aca="false">J6*Assumptions!J38</f>
        <v>118.999491872351</v>
      </c>
      <c r="K19" s="24" t="n">
        <f aca="false">K6*Assumptions!K38</f>
        <v>132.420890577794</v>
      </c>
    </row>
    <row r="20" customFormat="false" ht="15" hidden="false" customHeight="false" outlineLevel="0" collapsed="false">
      <c r="A20" s="53" t="s">
        <v>512</v>
      </c>
      <c r="B20" s="54"/>
      <c r="C20" s="24" t="n">
        <f aca="false">Hist_IS!C27</f>
        <v>168</v>
      </c>
      <c r="D20" s="24" t="n">
        <f aca="false">Hist_IS!D27</f>
        <v>253</v>
      </c>
      <c r="E20" s="24" t="n">
        <f aca="false">Hist_IS!E27</f>
        <v>324</v>
      </c>
      <c r="F20" s="24" t="n">
        <f aca="false">Hist_IS!F27</f>
        <v>238</v>
      </c>
      <c r="G20" s="24" t="n">
        <f aca="false">G6*Assumptions!G39</f>
        <v>331.141212</v>
      </c>
      <c r="H20" s="24" t="n">
        <f aca="false">H6*Assumptions!H39</f>
        <v>342.247968385133</v>
      </c>
      <c r="I20" s="24" t="n">
        <f aca="false">I6*Assumptions!I39</f>
        <v>428.638553114146</v>
      </c>
      <c r="J20" s="24" t="n">
        <f aca="false">J6*Assumptions!J39</f>
        <v>445.058099602594</v>
      </c>
      <c r="K20" s="24" t="n">
        <f aca="false">K6*Assumptions!K39</f>
        <v>529.683562311176</v>
      </c>
    </row>
    <row r="21" customFormat="false" ht="15" hidden="false" customHeight="false" outlineLevel="0" collapsed="false">
      <c r="A21" s="53" t="s">
        <v>753</v>
      </c>
      <c r="B21" s="54"/>
      <c r="C21" s="24" t="n">
        <f aca="false">Hist_IS!C28</f>
        <v>-121</v>
      </c>
      <c r="D21" s="24" t="n">
        <f aca="false">Hist_IS!D28</f>
        <v>-139</v>
      </c>
      <c r="E21" s="24" t="n">
        <f aca="false">Hist_IS!E28</f>
        <v>-126</v>
      </c>
      <c r="F21" s="24" t="n">
        <f aca="false">Hist_IS!F28</f>
        <v>-131</v>
      </c>
      <c r="G21" s="59" t="n">
        <f aca="false">F21</f>
        <v>-131</v>
      </c>
      <c r="H21" s="59" t="n">
        <f aca="false">G21</f>
        <v>-131</v>
      </c>
      <c r="I21" s="59" t="n">
        <f aca="false">H21</f>
        <v>-131</v>
      </c>
      <c r="J21" s="59" t="n">
        <f aca="false">I21</f>
        <v>-131</v>
      </c>
      <c r="K21" s="59" t="n">
        <f aca="false">J21</f>
        <v>-131</v>
      </c>
    </row>
    <row r="22" customFormat="false" ht="15" hidden="false" customHeight="false" outlineLevel="0" collapsed="false">
      <c r="A22" s="53" t="s">
        <v>514</v>
      </c>
      <c r="B22" s="54"/>
      <c r="C22" s="24" t="n">
        <f aca="false">Hist_IS!C29</f>
        <v>-244</v>
      </c>
      <c r="D22" s="24" t="n">
        <f aca="false">Hist_IS!D29</f>
        <v>0</v>
      </c>
      <c r="E22" s="24" t="n">
        <f aca="false">Hist_IS!E29</f>
        <v>0</v>
      </c>
      <c r="F22" s="24" t="n">
        <f aca="false">Hist_IS!F29</f>
        <v>-26</v>
      </c>
      <c r="G22" s="74" t="n">
        <v>0</v>
      </c>
      <c r="H22" s="74" t="n">
        <v>0</v>
      </c>
      <c r="I22" s="74" t="n">
        <v>0</v>
      </c>
      <c r="J22" s="74" t="n">
        <v>0</v>
      </c>
      <c r="K22" s="74" t="n">
        <v>0</v>
      </c>
    </row>
    <row r="23" customFormat="false" ht="15" hidden="false" customHeight="false" outlineLevel="0" collapsed="false">
      <c r="A23" s="55" t="s">
        <v>515</v>
      </c>
      <c r="B23" s="54"/>
      <c r="C23" s="56" t="n">
        <f aca="false">C17-C19+C20+C21+C22</f>
        <v>306</v>
      </c>
      <c r="D23" s="56" t="n">
        <f aca="false">D17-D19+D20+D21+D22</f>
        <v>484</v>
      </c>
      <c r="E23" s="56" t="n">
        <f aca="false">E17-E19+E20+E21+E22</f>
        <v>1191</v>
      </c>
      <c r="F23" s="56" t="n">
        <f aca="false">F17-F19+F20+F21+F22</f>
        <v>558</v>
      </c>
      <c r="G23" s="56" t="n">
        <f aca="false">G17-G19+G20+G21+G22</f>
        <v>1049.43506588987</v>
      </c>
      <c r="H23" s="56" t="n">
        <f aca="false">H17-H19+H20+H21+H22</f>
        <v>1312.95468615971</v>
      </c>
      <c r="I23" s="56" t="n">
        <f aca="false">I17-I19+I20+I21+I22</f>
        <v>1610.48576761508</v>
      </c>
      <c r="J23" s="56" t="n">
        <f aca="false">J17-J19+J20+J21+J22</f>
        <v>1769.45578465922</v>
      </c>
      <c r="K23" s="56" t="n">
        <f aca="false">K17-K19+K20+K21+K22</f>
        <v>2042.49235411265</v>
      </c>
    </row>
    <row r="24" customFormat="false" ht="15" hidden="false" customHeight="false" outlineLevel="0" collapsed="false">
      <c r="A24" s="53" t="s">
        <v>754</v>
      </c>
      <c r="B24" s="54"/>
      <c r="C24" s="24" t="n">
        <f aca="false">Hist_IS!C31</f>
        <v>171</v>
      </c>
      <c r="D24" s="24" t="n">
        <f aca="false">Hist_IS!D31</f>
        <v>238</v>
      </c>
      <c r="E24" s="24" t="n">
        <f aca="false">Hist_IS!E31</f>
        <v>356</v>
      </c>
      <c r="F24" s="24" t="n">
        <f aca="false">Hist_IS!F31</f>
        <v>187</v>
      </c>
      <c r="G24" s="24" t="n">
        <f aca="false">MAX(0,G23)*Assumptions!G25</f>
        <v>314.830519766961</v>
      </c>
      <c r="H24" s="24" t="n">
        <f aca="false">MAX(0,H23)*Assumptions!H25</f>
        <v>393.886405847912</v>
      </c>
      <c r="I24" s="24" t="n">
        <f aca="false">MAX(0,I23)*Assumptions!I25</f>
        <v>483.145730284525</v>
      </c>
      <c r="J24" s="24" t="n">
        <f aca="false">MAX(0,J23)*Assumptions!J25</f>
        <v>530.836735397766</v>
      </c>
      <c r="K24" s="24" t="n">
        <f aca="false">MAX(0,K23)*Assumptions!K25</f>
        <v>612.747706233794</v>
      </c>
    </row>
    <row r="25" customFormat="false" ht="15" hidden="false" customHeight="false" outlineLevel="0" collapsed="false">
      <c r="A25" s="55" t="s">
        <v>518</v>
      </c>
      <c r="B25" s="54"/>
      <c r="C25" s="56" t="n">
        <f aca="false">C23-C24</f>
        <v>135</v>
      </c>
      <c r="D25" s="56" t="n">
        <f aca="false">D23-D24</f>
        <v>246</v>
      </c>
      <c r="E25" s="56" t="n">
        <f aca="false">E23-E24</f>
        <v>835</v>
      </c>
      <c r="F25" s="56" t="n">
        <f aca="false">F23-F24</f>
        <v>371</v>
      </c>
      <c r="G25" s="56" t="n">
        <f aca="false">G23-G24</f>
        <v>734.604546122909</v>
      </c>
      <c r="H25" s="56" t="n">
        <f aca="false">H23-H24</f>
        <v>919.068280311795</v>
      </c>
      <c r="I25" s="56" t="n">
        <f aca="false">I23-I24</f>
        <v>1127.34003733056</v>
      </c>
      <c r="J25" s="56" t="n">
        <f aca="false">J23-J24</f>
        <v>1238.61904926145</v>
      </c>
      <c r="K25" s="56" t="n">
        <f aca="false">K23-K24</f>
        <v>1429.74464787885</v>
      </c>
    </row>
    <row r="26" customFormat="false" ht="15" hidden="false" customHeight="false" outlineLevel="0" collapsed="false">
      <c r="A26" s="53" t="s">
        <v>519</v>
      </c>
      <c r="B26" s="54"/>
      <c r="C26" s="23" t="n">
        <v>0</v>
      </c>
      <c r="D26" s="23" t="n">
        <v>0</v>
      </c>
      <c r="E26" s="23" t="n">
        <v>0</v>
      </c>
      <c r="F26" s="23" t="n">
        <v>0</v>
      </c>
      <c r="G26" s="74" t="n">
        <v>0</v>
      </c>
      <c r="H26" s="74" t="n">
        <v>0</v>
      </c>
      <c r="I26" s="74" t="n">
        <v>0</v>
      </c>
      <c r="J26" s="74" t="n">
        <v>0</v>
      </c>
      <c r="K26" s="74" t="n">
        <v>0</v>
      </c>
    </row>
    <row r="27" customFormat="false" ht="15" hidden="false" customHeight="false" outlineLevel="0" collapsed="false">
      <c r="A27" s="55" t="s">
        <v>520</v>
      </c>
      <c r="B27" s="54"/>
      <c r="C27" s="56" t="n">
        <f aca="false">C25-C26</f>
        <v>135</v>
      </c>
      <c r="D27" s="56" t="n">
        <f aca="false">D25-D26</f>
        <v>246</v>
      </c>
      <c r="E27" s="56" t="n">
        <f aca="false">E25-E26</f>
        <v>835</v>
      </c>
      <c r="F27" s="56" t="n">
        <f aca="false">F25-F26</f>
        <v>371</v>
      </c>
      <c r="G27" s="56" t="n">
        <f aca="false">G25-G26</f>
        <v>734.604546122909</v>
      </c>
      <c r="H27" s="56" t="n">
        <f aca="false">H25-H26</f>
        <v>919.068280311795</v>
      </c>
      <c r="I27" s="56" t="n">
        <f aca="false">I25-I26</f>
        <v>1127.34003733056</v>
      </c>
      <c r="J27" s="56" t="n">
        <f aca="false">J25-J26</f>
        <v>1238.61904926145</v>
      </c>
      <c r="K27" s="56" t="n">
        <f aca="false">K25-K26</f>
        <v>1429.74464787885</v>
      </c>
    </row>
    <row r="29" customFormat="false" ht="15" hidden="false" customHeight="false" outlineLevel="0" collapsed="false">
      <c r="A29" s="53" t="s">
        <v>755</v>
      </c>
      <c r="B29" s="54"/>
      <c r="C29" s="37" t="n">
        <f aca="false">Assumptions!$C$9</f>
        <v>33.08</v>
      </c>
      <c r="D29" s="37" t="n">
        <f aca="false">Assumptions!$C$9</f>
        <v>33.08</v>
      </c>
      <c r="E29" s="37" t="n">
        <f aca="false">Assumptions!$C$9</f>
        <v>33.08</v>
      </c>
      <c r="F29" s="37" t="n">
        <f aca="false">Assumptions!$C$9</f>
        <v>33.08</v>
      </c>
      <c r="G29" s="37" t="n">
        <f aca="false">Assumptions!$C$9</f>
        <v>33.08</v>
      </c>
      <c r="H29" s="37" t="n">
        <f aca="false">Assumptions!$C$9</f>
        <v>33.08</v>
      </c>
      <c r="I29" s="37" t="n">
        <f aca="false">Assumptions!$C$9</f>
        <v>33.08</v>
      </c>
      <c r="J29" s="37" t="n">
        <f aca="false">Assumptions!$C$9</f>
        <v>33.08</v>
      </c>
      <c r="K29" s="37" t="n">
        <f aca="false">Assumptions!$C$9</f>
        <v>33.08</v>
      </c>
    </row>
    <row r="30" customFormat="false" ht="15" hidden="false" customHeight="false" outlineLevel="0" collapsed="false">
      <c r="A30" s="5" t="s">
        <v>523</v>
      </c>
      <c r="B30" s="54"/>
      <c r="C30" s="57" t="n">
        <f aca="false">C27/C29</f>
        <v>4.08101571946796</v>
      </c>
      <c r="D30" s="57" t="n">
        <f aca="false">D27/D29</f>
        <v>7.43651753325272</v>
      </c>
      <c r="E30" s="57" t="n">
        <f aca="false">E27/E29</f>
        <v>25.2418379685611</v>
      </c>
      <c r="F30" s="57" t="n">
        <f aca="false">F27/F29</f>
        <v>11.2152357920193</v>
      </c>
      <c r="G30" s="57" t="n">
        <f aca="false">G27/G29</f>
        <v>22.2069088912609</v>
      </c>
      <c r="H30" s="57" t="n">
        <f aca="false">H27/H29</f>
        <v>27.7832007349394</v>
      </c>
      <c r="I30" s="57" t="n">
        <f aca="false">I27/I29</f>
        <v>34.079203063197</v>
      </c>
      <c r="J30" s="57" t="n">
        <f aca="false">J27/J29</f>
        <v>37.4431393368033</v>
      </c>
      <c r="K30" s="57" t="n">
        <f aca="false">K27/K29</f>
        <v>43.2208176505095</v>
      </c>
    </row>
    <row r="31" customFormat="false" ht="15" hidden="false" customHeight="false" outlineLevel="0" collapsed="false">
      <c r="A31" s="53" t="s">
        <v>529</v>
      </c>
      <c r="B31" s="54"/>
      <c r="C31" s="31" t="n">
        <f aca="false">C25/C6</f>
        <v>0.0142120223181388</v>
      </c>
      <c r="D31" s="31" t="n">
        <f aca="false">D25/D6</f>
        <v>0.0197099591378896</v>
      </c>
      <c r="E31" s="31" t="n">
        <f aca="false">E25/E6</f>
        <v>0.0541750470382145</v>
      </c>
      <c r="F31" s="31" t="n">
        <f aca="false">F25/F6</f>
        <v>0.026044226044226</v>
      </c>
      <c r="G31" s="31" t="n">
        <f aca="false">G25/G6</f>
        <v>0.0443680532354221</v>
      </c>
      <c r="H31" s="31" t="n">
        <f aca="false">H25/H6</f>
        <v>0.0483369678530748</v>
      </c>
      <c r="I31" s="31" t="n">
        <f aca="false">I25/I6</f>
        <v>0.0526009631723606</v>
      </c>
      <c r="J31" s="31" t="n">
        <f aca="false">J25/J6</f>
        <v>0.0520430394186094</v>
      </c>
      <c r="K31" s="31" t="n">
        <f aca="false">K25/K6</f>
        <v>0.0539848600036001</v>
      </c>
    </row>
    <row r="32" customFormat="false" ht="15" hidden="false" customHeight="false" outlineLevel="0" collapsed="false">
      <c r="A32" s="53" t="s">
        <v>517</v>
      </c>
      <c r="B32" s="54"/>
      <c r="C32" s="31" t="n">
        <f aca="false">C24/C23</f>
        <v>0.558823529411765</v>
      </c>
      <c r="D32" s="31" t="n">
        <f aca="false">D24/D23</f>
        <v>0.491735537190083</v>
      </c>
      <c r="E32" s="31" t="n">
        <f aca="false">E24/E23</f>
        <v>0.298908480268682</v>
      </c>
      <c r="F32" s="31" t="n">
        <f aca="false">F24/F23</f>
        <v>0.335125448028674</v>
      </c>
      <c r="G32" s="31" t="n">
        <f aca="false">G24/G23</f>
        <v>0.3</v>
      </c>
      <c r="H32" s="31" t="n">
        <f aca="false">H24/H23</f>
        <v>0.3</v>
      </c>
      <c r="I32" s="31" t="n">
        <f aca="false">I24/I23</f>
        <v>0.3</v>
      </c>
      <c r="J32" s="31" t="n">
        <f aca="false">J24/J23</f>
        <v>0.3</v>
      </c>
      <c r="K32" s="31" t="n">
        <f aca="false">K24/K23</f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1" min="3" style="0" width="11.5"/>
  </cols>
  <sheetData>
    <row r="1" customFormat="false" ht="17.35" hidden="false" customHeight="false" outlineLevel="0" collapsed="false">
      <c r="A1" s="17" t="s">
        <v>756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8" t="s">
        <v>483</v>
      </c>
    </row>
    <row r="4" customFormat="false" ht="15" hidden="false" customHeight="false" outlineLevel="0" collapsed="false">
      <c r="C4" s="48" t="s">
        <v>484</v>
      </c>
      <c r="G4" s="48" t="s">
        <v>597</v>
      </c>
    </row>
    <row r="5" customFormat="false" ht="15" hidden="false" customHeight="false" outlineLevel="0" collapsed="false">
      <c r="A5" s="49" t="s">
        <v>485</v>
      </c>
      <c r="B5" s="49" t="s">
        <v>486</v>
      </c>
      <c r="C5" s="50" t="s">
        <v>487</v>
      </c>
      <c r="D5" s="50" t="s">
        <v>488</v>
      </c>
      <c r="E5" s="50" t="s">
        <v>489</v>
      </c>
      <c r="F5" s="50" t="s">
        <v>490</v>
      </c>
      <c r="G5" s="60" t="s">
        <v>598</v>
      </c>
      <c r="H5" s="60" t="s">
        <v>599</v>
      </c>
      <c r="I5" s="60" t="s">
        <v>600</v>
      </c>
      <c r="J5" s="60" t="s">
        <v>601</v>
      </c>
      <c r="K5" s="60" t="s">
        <v>602</v>
      </c>
    </row>
    <row r="6" customFormat="false" ht="15" hidden="false" customHeight="false" outlineLevel="0" collapsed="false">
      <c r="A6" s="51" t="s">
        <v>531</v>
      </c>
      <c r="B6" s="52"/>
      <c r="C6" s="52"/>
      <c r="D6" s="52"/>
      <c r="E6" s="52"/>
      <c r="F6" s="52"/>
      <c r="G6" s="52"/>
      <c r="H6" s="52"/>
      <c r="I6" s="52"/>
      <c r="J6" s="52"/>
      <c r="K6" s="52"/>
    </row>
    <row r="7" customFormat="false" ht="15" hidden="false" customHeight="false" outlineLevel="0" collapsed="false">
      <c r="A7" s="53" t="s">
        <v>532</v>
      </c>
      <c r="B7" s="54" t="s">
        <v>493</v>
      </c>
      <c r="C7" s="24" t="n">
        <f aca="false">Hist_BS!C7</f>
        <v>33</v>
      </c>
      <c r="D7" s="24" t="n">
        <f aca="false">Hist_BS!D7</f>
        <v>33</v>
      </c>
      <c r="E7" s="24" t="n">
        <f aca="false">Hist_BS!E7</f>
        <v>33</v>
      </c>
      <c r="F7" s="24" t="n">
        <f aca="false">Hist_BS!F7</f>
        <v>33</v>
      </c>
      <c r="G7" s="24" t="n">
        <f aca="false">Equity_Schedule!G6</f>
        <v>33</v>
      </c>
      <c r="H7" s="24" t="n">
        <f aca="false">Equity_Schedule!H6</f>
        <v>33</v>
      </c>
      <c r="I7" s="24" t="n">
        <f aca="false">Equity_Schedule!I6</f>
        <v>33</v>
      </c>
      <c r="J7" s="24" t="n">
        <f aca="false">Equity_Schedule!J6</f>
        <v>33</v>
      </c>
      <c r="K7" s="24" t="n">
        <f aca="false">Equity_Schedule!K6</f>
        <v>33</v>
      </c>
    </row>
    <row r="8" customFormat="false" ht="15" hidden="false" customHeight="false" outlineLevel="0" collapsed="false">
      <c r="A8" s="53" t="s">
        <v>533</v>
      </c>
      <c r="B8" s="54" t="s">
        <v>493</v>
      </c>
      <c r="C8" s="24" t="n">
        <f aca="false">Hist_BS!C8</f>
        <v>5419</v>
      </c>
      <c r="D8" s="24" t="n">
        <f aca="false">Hist_BS!D8</f>
        <v>5787</v>
      </c>
      <c r="E8" s="24" t="n">
        <f aca="false">Hist_BS!E8</f>
        <v>6480</v>
      </c>
      <c r="F8" s="24" t="n">
        <f aca="false">Hist_BS!F8</f>
        <v>6343</v>
      </c>
      <c r="G8" s="24" t="n">
        <f aca="false">Equity_Schedule!G13</f>
        <v>6945.28454612291</v>
      </c>
      <c r="H8" s="24" t="n">
        <f aca="false">Equity_Schedule!H13</f>
        <v>7732.0328264347</v>
      </c>
      <c r="I8" s="24" t="n">
        <f aca="false">Equity_Schedule!I13</f>
        <v>8727.05286376526</v>
      </c>
      <c r="J8" s="24" t="n">
        <f aca="false">Equity_Schedule!J13</f>
        <v>9833.35191302672</v>
      </c>
      <c r="K8" s="24" t="n">
        <f aca="false">Equity_Schedule!K13</f>
        <v>11130.7765609056</v>
      </c>
    </row>
    <row r="9" customFormat="false" ht="15" hidden="false" customHeight="false" outlineLevel="0" collapsed="false">
      <c r="A9" s="53" t="s">
        <v>534</v>
      </c>
      <c r="B9" s="54" t="s">
        <v>493</v>
      </c>
      <c r="C9" s="24" t="n">
        <f aca="false">Hist_BS!C9</f>
        <v>42</v>
      </c>
      <c r="D9" s="24" t="n">
        <f aca="false">Hist_BS!D9</f>
        <v>34</v>
      </c>
      <c r="E9" s="24" t="n">
        <f aca="false">Hist_BS!E9</f>
        <v>27</v>
      </c>
      <c r="F9" s="24" t="n">
        <f aca="false">Hist_BS!F9</f>
        <v>23</v>
      </c>
      <c r="G9" s="24" t="n">
        <f aca="false">Equity_Schedule!G7</f>
        <v>23</v>
      </c>
      <c r="H9" s="24" t="n">
        <f aca="false">Equity_Schedule!H7</f>
        <v>23</v>
      </c>
      <c r="I9" s="24" t="n">
        <f aca="false">Equity_Schedule!I7</f>
        <v>23</v>
      </c>
      <c r="J9" s="24" t="n">
        <f aca="false">Equity_Schedule!J7</f>
        <v>23</v>
      </c>
      <c r="K9" s="24" t="n">
        <f aca="false">Equity_Schedule!K7</f>
        <v>23</v>
      </c>
    </row>
    <row r="10" customFormat="false" ht="15" hidden="false" customHeight="false" outlineLevel="0" collapsed="false">
      <c r="A10" s="55" t="s">
        <v>535</v>
      </c>
      <c r="B10" s="54"/>
      <c r="C10" s="56" t="n">
        <f aca="false">SUM(C7:C9)</f>
        <v>5494</v>
      </c>
      <c r="D10" s="56" t="n">
        <f aca="false">SUM(D7:D9)</f>
        <v>5854</v>
      </c>
      <c r="E10" s="56" t="n">
        <f aca="false">SUM(E7:E9)</f>
        <v>6540</v>
      </c>
      <c r="F10" s="56" t="n">
        <f aca="false">SUM(F7:F9)</f>
        <v>6399</v>
      </c>
      <c r="G10" s="56" t="n">
        <f aca="false">SUM(G7:G9)</f>
        <v>7001.28454612291</v>
      </c>
      <c r="H10" s="56" t="n">
        <f aca="false">SUM(H7:H9)</f>
        <v>7788.0328264347</v>
      </c>
      <c r="I10" s="56" t="n">
        <f aca="false">SUM(I7:I9)</f>
        <v>8783.05286376526</v>
      </c>
      <c r="J10" s="56" t="n">
        <f aca="false">SUM(J7:J9)</f>
        <v>9889.35191302672</v>
      </c>
      <c r="K10" s="56" t="n">
        <f aca="false">SUM(K7:K9)</f>
        <v>11186.7765609056</v>
      </c>
    </row>
    <row r="12" customFormat="false" ht="15" hidden="false" customHeight="false" outlineLevel="0" collapsed="false">
      <c r="A12" s="53" t="s">
        <v>536</v>
      </c>
      <c r="B12" s="54" t="s">
        <v>493</v>
      </c>
      <c r="C12" s="24" t="n">
        <f aca="false">Hist_BS!C12</f>
        <v>21</v>
      </c>
      <c r="D12" s="24" t="n">
        <f aca="false">Hist_BS!D12</f>
        <v>228</v>
      </c>
      <c r="E12" s="24" t="n">
        <f aca="false">Hist_BS!E12</f>
        <v>383</v>
      </c>
      <c r="F12" s="24" t="n">
        <f aca="false">Hist_BS!F12</f>
        <v>376</v>
      </c>
      <c r="G12" s="24" t="n">
        <f aca="false">Debt_Schedule!G10</f>
        <v>319.6</v>
      </c>
      <c r="H12" s="24" t="n">
        <f aca="false">Debt_Schedule!H10</f>
        <v>271.66</v>
      </c>
      <c r="I12" s="24" t="n">
        <f aca="false">Debt_Schedule!I10</f>
        <v>230.911</v>
      </c>
      <c r="J12" s="24" t="n">
        <f aca="false">Debt_Schedule!J10</f>
        <v>196.27435</v>
      </c>
      <c r="K12" s="24" t="n">
        <f aca="false">Debt_Schedule!K10</f>
        <v>166.8331975</v>
      </c>
    </row>
    <row r="13" customFormat="false" ht="15" hidden="false" customHeight="false" outlineLevel="0" collapsed="false">
      <c r="A13" s="53" t="s">
        <v>537</v>
      </c>
      <c r="B13" s="54" t="s">
        <v>493</v>
      </c>
      <c r="C13" s="24" t="n">
        <f aca="false">Hist_BS!C13</f>
        <v>25</v>
      </c>
      <c r="D13" s="24" t="n">
        <f aca="false">Hist_BS!D13</f>
        <v>21</v>
      </c>
      <c r="E13" s="24" t="n">
        <f aca="false">Hist_BS!E13</f>
        <v>18</v>
      </c>
      <c r="F13" s="24" t="n">
        <f aca="false">Hist_BS!F13</f>
        <v>15</v>
      </c>
      <c r="G13" s="24" t="n">
        <f aca="false">Debt_Schedule!G21</f>
        <v>15</v>
      </c>
      <c r="H13" s="24" t="n">
        <f aca="false">Debt_Schedule!H21</f>
        <v>15</v>
      </c>
      <c r="I13" s="24" t="n">
        <f aca="false">Debt_Schedule!I21</f>
        <v>15</v>
      </c>
      <c r="J13" s="24" t="n">
        <f aca="false">Debt_Schedule!J21</f>
        <v>15</v>
      </c>
      <c r="K13" s="24" t="n">
        <f aca="false">Debt_Schedule!K21</f>
        <v>15</v>
      </c>
    </row>
    <row r="14" customFormat="false" ht="15" hidden="false" customHeight="false" outlineLevel="0" collapsed="false">
      <c r="A14" s="53" t="s">
        <v>538</v>
      </c>
      <c r="B14" s="54" t="s">
        <v>493</v>
      </c>
      <c r="C14" s="24" t="n">
        <f aca="false">Hist_BS!C14</f>
        <v>5</v>
      </c>
      <c r="D14" s="24" t="n">
        <f aca="false">Hist_BS!D14</f>
        <v>59</v>
      </c>
      <c r="E14" s="24" t="n">
        <f aca="false">Hist_BS!E14</f>
        <v>58</v>
      </c>
      <c r="F14" s="24" t="n">
        <f aca="false">Hist_BS!F14</f>
        <v>14</v>
      </c>
      <c r="G14" s="59" t="n">
        <f aca="false">F14</f>
        <v>14</v>
      </c>
      <c r="H14" s="59" t="n">
        <f aca="false">G14</f>
        <v>14</v>
      </c>
      <c r="I14" s="59" t="n">
        <f aca="false">H14</f>
        <v>14</v>
      </c>
      <c r="J14" s="59" t="n">
        <f aca="false">I14</f>
        <v>14</v>
      </c>
      <c r="K14" s="59" t="n">
        <f aca="false">J14</f>
        <v>14</v>
      </c>
    </row>
    <row r="15" customFormat="false" ht="15" hidden="false" customHeight="false" outlineLevel="0" collapsed="false">
      <c r="A15" s="53" t="s">
        <v>539</v>
      </c>
      <c r="B15" s="54" t="s">
        <v>493</v>
      </c>
      <c r="C15" s="24" t="n">
        <f aca="false">Hist_BS!C15</f>
        <v>114</v>
      </c>
      <c r="D15" s="24" t="n">
        <f aca="false">Hist_BS!D15</f>
        <v>117</v>
      </c>
      <c r="E15" s="24" t="n">
        <f aca="false">Hist_BS!E15</f>
        <v>147</v>
      </c>
      <c r="F15" s="24" t="n">
        <f aca="false">Hist_BS!F15</f>
        <v>152</v>
      </c>
      <c r="G15" s="59" t="n">
        <f aca="false">F15</f>
        <v>152</v>
      </c>
      <c r="H15" s="59" t="n">
        <f aca="false">G15</f>
        <v>152</v>
      </c>
      <c r="I15" s="59" t="n">
        <f aca="false">H15</f>
        <v>152</v>
      </c>
      <c r="J15" s="59" t="n">
        <f aca="false">I15</f>
        <v>152</v>
      </c>
      <c r="K15" s="59" t="n">
        <f aca="false">J15</f>
        <v>152</v>
      </c>
    </row>
    <row r="16" customFormat="false" ht="15" hidden="false" customHeight="false" outlineLevel="0" collapsed="false">
      <c r="A16" s="55" t="s">
        <v>540</v>
      </c>
      <c r="B16" s="54"/>
      <c r="C16" s="56" t="n">
        <f aca="false">SUM(C12:C15)</f>
        <v>165</v>
      </c>
      <c r="D16" s="56" t="n">
        <f aca="false">SUM(D12:D15)</f>
        <v>425</v>
      </c>
      <c r="E16" s="56" t="n">
        <f aca="false">SUM(E12:E15)</f>
        <v>606</v>
      </c>
      <c r="F16" s="56" t="n">
        <f aca="false">SUM(F12:F15)</f>
        <v>557</v>
      </c>
      <c r="G16" s="56" t="n">
        <f aca="false">SUM(G12:G15)</f>
        <v>500.6</v>
      </c>
      <c r="H16" s="56" t="n">
        <f aca="false">SUM(H12:H15)</f>
        <v>452.66</v>
      </c>
      <c r="I16" s="56" t="n">
        <f aca="false">SUM(I12:I15)</f>
        <v>411.911</v>
      </c>
      <c r="J16" s="56" t="n">
        <f aca="false">SUM(J12:J15)</f>
        <v>377.27435</v>
      </c>
      <c r="K16" s="56" t="n">
        <f aca="false">SUM(K12:K15)</f>
        <v>347.8331975</v>
      </c>
    </row>
    <row r="18" customFormat="false" ht="15" hidden="false" customHeight="false" outlineLevel="0" collapsed="false">
      <c r="A18" s="53" t="s">
        <v>541</v>
      </c>
      <c r="B18" s="54" t="s">
        <v>493</v>
      </c>
      <c r="C18" s="24" t="n">
        <f aca="false">Hist_BS!C18</f>
        <v>595</v>
      </c>
      <c r="D18" s="24" t="n">
        <f aca="false">Hist_BS!D18</f>
        <v>485</v>
      </c>
      <c r="E18" s="24" t="n">
        <f aca="false">Hist_BS!E18</f>
        <v>481</v>
      </c>
      <c r="F18" s="24" t="n">
        <f aca="false">Hist_BS!F18</f>
        <v>591</v>
      </c>
      <c r="G18" s="24" t="n">
        <f aca="false">Debt_Schedule!G15</f>
        <v>647.50037101994</v>
      </c>
      <c r="H18" s="24" t="n">
        <f aca="false">Debt_Schedule!H15</f>
        <v>737.697836484095</v>
      </c>
      <c r="I18" s="24" t="n">
        <f aca="false">Debt_Schedule!I15</f>
        <v>817.062883068834</v>
      </c>
      <c r="J18" s="24" t="n">
        <f aca="false">Debt_Schedule!J15</f>
        <v>922.80193634947</v>
      </c>
      <c r="K18" s="24" t="n">
        <f aca="false">Debt_Schedule!K15</f>
        <v>1003.80897856849</v>
      </c>
    </row>
    <row r="19" customFormat="false" ht="15" hidden="false" customHeight="false" outlineLevel="0" collapsed="false">
      <c r="A19" s="53" t="s">
        <v>542</v>
      </c>
      <c r="B19" s="54" t="s">
        <v>493</v>
      </c>
      <c r="C19" s="24" t="n">
        <f aca="false">Hist_BS!C19</f>
        <v>9</v>
      </c>
      <c r="D19" s="24" t="n">
        <f aca="false">Hist_BS!D19</f>
        <v>9</v>
      </c>
      <c r="E19" s="24" t="n">
        <f aca="false">Hist_BS!E19</f>
        <v>11</v>
      </c>
      <c r="F19" s="24" t="n">
        <f aca="false">Hist_BS!F19</f>
        <v>11</v>
      </c>
      <c r="G19" s="59" t="n">
        <f aca="false">F19</f>
        <v>11</v>
      </c>
      <c r="H19" s="59" t="n">
        <f aca="false">G19</f>
        <v>11</v>
      </c>
      <c r="I19" s="59" t="n">
        <f aca="false">H19</f>
        <v>11</v>
      </c>
      <c r="J19" s="59" t="n">
        <f aca="false">I19</f>
        <v>11</v>
      </c>
      <c r="K19" s="59" t="n">
        <f aca="false">J19</f>
        <v>11</v>
      </c>
    </row>
    <row r="20" customFormat="false" ht="15" hidden="false" customHeight="false" outlineLevel="0" collapsed="false">
      <c r="A20" s="53" t="s">
        <v>543</v>
      </c>
      <c r="B20" s="54" t="s">
        <v>493</v>
      </c>
      <c r="C20" s="24" t="n">
        <f aca="false">Hist_BS!C20</f>
        <v>3013</v>
      </c>
      <c r="D20" s="24" t="n">
        <f aca="false">Hist_BS!D20</f>
        <v>3856</v>
      </c>
      <c r="E20" s="24" t="n">
        <f aca="false">Hist_BS!E20</f>
        <v>3893</v>
      </c>
      <c r="F20" s="24" t="n">
        <f aca="false">Hist_BS!F20</f>
        <v>5228</v>
      </c>
      <c r="G20" s="24" t="n">
        <f aca="false">WC_Schedule!G18</f>
        <v>5568.88794964274</v>
      </c>
      <c r="H20" s="24" t="n">
        <f aca="false">WC_Schedule!H18</f>
        <v>6184.84273826941</v>
      </c>
      <c r="I20" s="24" t="n">
        <f aca="false">WC_Schedule!I18</f>
        <v>6962.4406076041</v>
      </c>
      <c r="J20" s="24" t="n">
        <f aca="false">WC_Schedule!J18</f>
        <v>7580.10461926622</v>
      </c>
      <c r="K20" s="24" t="n">
        <f aca="false">WC_Schedule!K18</f>
        <v>8424.14542251063</v>
      </c>
    </row>
    <row r="21" customFormat="false" ht="15" hidden="false" customHeight="false" outlineLevel="0" collapsed="false">
      <c r="A21" s="53" t="s">
        <v>544</v>
      </c>
      <c r="B21" s="54" t="s">
        <v>493</v>
      </c>
      <c r="C21" s="24" t="n">
        <f aca="false">Hist_BS!C21</f>
        <v>1003</v>
      </c>
      <c r="D21" s="24" t="n">
        <f aca="false">Hist_BS!D21</f>
        <v>1406</v>
      </c>
      <c r="E21" s="24" t="n">
        <f aca="false">Hist_BS!E21</f>
        <v>1621</v>
      </c>
      <c r="F21" s="24" t="n">
        <f aca="false">Hist_BS!F21</f>
        <v>1724</v>
      </c>
      <c r="G21" s="24" t="n">
        <f aca="false">WC_Schedule!G19</f>
        <v>1814.47239452055</v>
      </c>
      <c r="H21" s="24" t="n">
        <f aca="false">WC_Schedule!H19</f>
        <v>2083.70148179685</v>
      </c>
      <c r="I21" s="24" t="n">
        <f aca="false">WC_Schedule!I19</f>
        <v>2348.70440062546</v>
      </c>
      <c r="J21" s="24" t="n">
        <f aca="false">WC_Schedule!J19</f>
        <v>2608.20804103784</v>
      </c>
      <c r="K21" s="24" t="n">
        <f aca="false">WC_Schedule!K19</f>
        <v>2902.37568389686</v>
      </c>
    </row>
    <row r="22" customFormat="false" ht="15" hidden="false" customHeight="false" outlineLevel="0" collapsed="false">
      <c r="A22" s="55" t="s">
        <v>545</v>
      </c>
      <c r="B22" s="54"/>
      <c r="C22" s="56" t="n">
        <f aca="false">SUM(C18:C21)</f>
        <v>4620</v>
      </c>
      <c r="D22" s="56" t="n">
        <f aca="false">SUM(D18:D21)</f>
        <v>5756</v>
      </c>
      <c r="E22" s="56" t="n">
        <f aca="false">SUM(E18:E21)</f>
        <v>6006</v>
      </c>
      <c r="F22" s="56" t="n">
        <f aca="false">SUM(F18:F21)</f>
        <v>7554</v>
      </c>
      <c r="G22" s="56" t="n">
        <f aca="false">SUM(G18:G21)</f>
        <v>8041.86071518323</v>
      </c>
      <c r="H22" s="56" t="n">
        <f aca="false">SUM(H18:H21)</f>
        <v>9017.24205655036</v>
      </c>
      <c r="I22" s="56" t="n">
        <f aca="false">SUM(I18:I21)</f>
        <v>10139.2078912984</v>
      </c>
      <c r="J22" s="56" t="n">
        <f aca="false">SUM(J18:J21)</f>
        <v>11122.1145966535</v>
      </c>
      <c r="K22" s="56" t="n">
        <f aca="false">SUM(K18:K21)</f>
        <v>12341.330084976</v>
      </c>
    </row>
    <row r="23" customFormat="false" ht="15" hidden="false" customHeight="false" outlineLevel="0" collapsed="false">
      <c r="A23" s="55" t="s">
        <v>546</v>
      </c>
      <c r="B23" s="54"/>
      <c r="C23" s="56" t="n">
        <f aca="false">C10+C16+C22</f>
        <v>10279</v>
      </c>
      <c r="D23" s="56" t="n">
        <f aca="false">D10+D16+D22</f>
        <v>12035</v>
      </c>
      <c r="E23" s="56" t="n">
        <f aca="false">E10+E16+E22</f>
        <v>13152</v>
      </c>
      <c r="F23" s="56" t="n">
        <f aca="false">F10+F16+F22</f>
        <v>14510</v>
      </c>
      <c r="G23" s="56" t="n">
        <f aca="false">G10+G16+G22</f>
        <v>15543.7452613061</v>
      </c>
      <c r="H23" s="56" t="n">
        <f aca="false">H10+H16+H22</f>
        <v>17257.9348829851</v>
      </c>
      <c r="I23" s="56" t="n">
        <f aca="false">I10+I16+I22</f>
        <v>19334.1717550637</v>
      </c>
      <c r="J23" s="56" t="n">
        <f aca="false">J10+J16+J22</f>
        <v>21388.7408596802</v>
      </c>
      <c r="K23" s="56" t="n">
        <f aca="false">K10+K16+K22</f>
        <v>23875.9398433815</v>
      </c>
    </row>
    <row r="25" customFormat="false" ht="15" hidden="false" customHeight="false" outlineLevel="0" collapsed="false">
      <c r="A25" s="51" t="s">
        <v>547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</row>
    <row r="26" customFormat="false" ht="15" hidden="false" customHeight="false" outlineLevel="0" collapsed="false">
      <c r="A26" s="53" t="s">
        <v>548</v>
      </c>
      <c r="B26" s="54" t="s">
        <v>493</v>
      </c>
      <c r="C26" s="24" t="n">
        <f aca="false">Hist_BS!C26</f>
        <v>361</v>
      </c>
      <c r="D26" s="24" t="n">
        <f aca="false">Hist_BS!D26</f>
        <v>390</v>
      </c>
      <c r="E26" s="24" t="n">
        <f aca="false">Hist_BS!E26</f>
        <v>820</v>
      </c>
      <c r="F26" s="24" t="n">
        <f aca="false">Hist_BS!F26</f>
        <v>935</v>
      </c>
      <c r="G26" s="24" t="n">
        <f aca="false">Capex_Dep!G21</f>
        <v>1070.45807017273</v>
      </c>
      <c r="H26" s="24" t="n">
        <f aca="false">Capex_Dep!H21</f>
        <v>1226.61802772005</v>
      </c>
      <c r="I26" s="24" t="n">
        <f aca="false">Capex_Dep!I21</f>
        <v>1462.92288300367</v>
      </c>
      <c r="J26" s="24" t="n">
        <f aca="false">Capex_Dep!J21</f>
        <v>1651.65199835189</v>
      </c>
      <c r="K26" s="24" t="n">
        <f aca="false">Capex_Dep!K21</f>
        <v>1859.62700872053</v>
      </c>
    </row>
    <row r="27" customFormat="false" ht="15" hidden="false" customHeight="false" outlineLevel="0" collapsed="false">
      <c r="A27" s="53" t="s">
        <v>549</v>
      </c>
      <c r="B27" s="54" t="s">
        <v>493</v>
      </c>
      <c r="C27" s="24" t="n">
        <f aca="false">Hist_BS!C27</f>
        <v>98</v>
      </c>
      <c r="D27" s="24" t="n">
        <f aca="false">Hist_BS!D27</f>
        <v>368</v>
      </c>
      <c r="E27" s="24" t="n">
        <f aca="false">Hist_BS!E27</f>
        <v>82</v>
      </c>
      <c r="F27" s="24" t="n">
        <f aca="false">Hist_BS!F27</f>
        <v>22</v>
      </c>
      <c r="G27" s="59" t="n">
        <f aca="false">F27</f>
        <v>22</v>
      </c>
      <c r="H27" s="59" t="n">
        <f aca="false">G27</f>
        <v>22</v>
      </c>
      <c r="I27" s="59" t="n">
        <f aca="false">H27</f>
        <v>22</v>
      </c>
      <c r="J27" s="59" t="n">
        <f aca="false">I27</f>
        <v>22</v>
      </c>
      <c r="K27" s="59" t="n">
        <f aca="false">J27</f>
        <v>22</v>
      </c>
    </row>
    <row r="28" customFormat="false" ht="15" hidden="false" customHeight="false" outlineLevel="0" collapsed="false">
      <c r="A28" s="53" t="s">
        <v>550</v>
      </c>
      <c r="B28" s="54" t="s">
        <v>493</v>
      </c>
      <c r="C28" s="24" t="n">
        <f aca="false">Hist_BS!C28</f>
        <v>36</v>
      </c>
      <c r="D28" s="24" t="n">
        <f aca="false">Hist_BS!D28</f>
        <v>35</v>
      </c>
      <c r="E28" s="24" t="n">
        <f aca="false">Hist_BS!E28</f>
        <v>34</v>
      </c>
      <c r="F28" s="24" t="n">
        <f aca="false">Hist_BS!F28</f>
        <v>32</v>
      </c>
      <c r="G28" s="24" t="n">
        <f aca="false">Capex_Dep!G44</f>
        <v>28.9150597371429</v>
      </c>
      <c r="H28" s="24" t="n">
        <f aca="false">Capex_Dep!H44</f>
        <v>25.6743964967181</v>
      </c>
      <c r="I28" s="24" t="n">
        <f aca="false">Capex_Dep!I44</f>
        <v>22.0476018663907</v>
      </c>
      <c r="J28" s="24" t="n">
        <f aca="false">Capex_Dep!J44</f>
        <v>17.8015983780809</v>
      </c>
      <c r="K28" s="24" t="n">
        <f aca="false">Capex_Dep!K44</f>
        <v>12.8960903245191</v>
      </c>
    </row>
    <row r="29" customFormat="false" ht="15" hidden="false" customHeight="false" outlineLevel="0" collapsed="false">
      <c r="A29" s="53" t="s">
        <v>551</v>
      </c>
      <c r="B29" s="54" t="s">
        <v>493</v>
      </c>
      <c r="C29" s="24" t="n">
        <f aca="false">Hist_BS!C29</f>
        <v>79</v>
      </c>
      <c r="D29" s="24" t="n">
        <f aca="false">Hist_BS!D29</f>
        <v>78</v>
      </c>
      <c r="E29" s="24" t="n">
        <f aca="false">Hist_BS!E29</f>
        <v>76</v>
      </c>
      <c r="F29" s="24" t="n">
        <f aca="false">Hist_BS!F29</f>
        <v>76</v>
      </c>
      <c r="G29" s="59" t="n">
        <f aca="false">F29</f>
        <v>76</v>
      </c>
      <c r="H29" s="59" t="n">
        <f aca="false">G29</f>
        <v>76</v>
      </c>
      <c r="I29" s="59" t="n">
        <f aca="false">H29</f>
        <v>76</v>
      </c>
      <c r="J29" s="59" t="n">
        <f aca="false">I29</f>
        <v>76</v>
      </c>
      <c r="K29" s="59" t="n">
        <f aca="false">J29</f>
        <v>76</v>
      </c>
    </row>
    <row r="30" customFormat="false" ht="15" hidden="false" customHeight="false" outlineLevel="0" collapsed="false">
      <c r="A30" s="53" t="s">
        <v>552</v>
      </c>
      <c r="B30" s="54" t="s">
        <v>493</v>
      </c>
      <c r="C30" s="24" t="n">
        <f aca="false">Hist_BS!C30</f>
        <v>2531</v>
      </c>
      <c r="D30" s="24" t="n">
        <f aca="false">Hist_BS!D30</f>
        <v>2768</v>
      </c>
      <c r="E30" s="24" t="n">
        <f aca="false">Hist_BS!E30</f>
        <v>2638</v>
      </c>
      <c r="F30" s="24" t="n">
        <f aca="false">Hist_BS!F30</f>
        <v>2307</v>
      </c>
      <c r="G30" s="59" t="n">
        <f aca="false">F30</f>
        <v>2307</v>
      </c>
      <c r="H30" s="59" t="n">
        <f aca="false">G30</f>
        <v>2307</v>
      </c>
      <c r="I30" s="59" t="n">
        <f aca="false">H30</f>
        <v>2307</v>
      </c>
      <c r="J30" s="59" t="n">
        <f aca="false">I30</f>
        <v>2307</v>
      </c>
      <c r="K30" s="59" t="n">
        <f aca="false">J30</f>
        <v>2307</v>
      </c>
    </row>
    <row r="31" customFormat="false" ht="15" hidden="false" customHeight="false" outlineLevel="0" collapsed="false">
      <c r="A31" s="53" t="s">
        <v>553</v>
      </c>
      <c r="B31" s="54" t="s">
        <v>493</v>
      </c>
      <c r="C31" s="24" t="n">
        <f aca="false">Hist_BS!C31</f>
        <v>36</v>
      </c>
      <c r="D31" s="24" t="n">
        <f aca="false">Hist_BS!D31</f>
        <v>41</v>
      </c>
      <c r="E31" s="24" t="n">
        <f aca="false">Hist_BS!E31</f>
        <v>44</v>
      </c>
      <c r="F31" s="24" t="n">
        <f aca="false">Hist_BS!F31</f>
        <v>51</v>
      </c>
      <c r="G31" s="59" t="n">
        <f aca="false">F31</f>
        <v>51</v>
      </c>
      <c r="H31" s="59" t="n">
        <f aca="false">G31</f>
        <v>51</v>
      </c>
      <c r="I31" s="59" t="n">
        <f aca="false">H31</f>
        <v>51</v>
      </c>
      <c r="J31" s="59" t="n">
        <f aca="false">I31</f>
        <v>51</v>
      </c>
      <c r="K31" s="59" t="n">
        <f aca="false">J31</f>
        <v>51</v>
      </c>
    </row>
    <row r="32" customFormat="false" ht="15" hidden="false" customHeight="false" outlineLevel="0" collapsed="false">
      <c r="A32" s="53" t="s">
        <v>554</v>
      </c>
      <c r="B32" s="54" t="s">
        <v>493</v>
      </c>
      <c r="C32" s="24" t="n">
        <f aca="false">Hist_BS!C32</f>
        <v>692</v>
      </c>
      <c r="D32" s="24" t="n">
        <f aca="false">Hist_BS!D32</f>
        <v>632</v>
      </c>
      <c r="E32" s="24" t="n">
        <f aca="false">Hist_BS!E32</f>
        <v>580</v>
      </c>
      <c r="F32" s="24" t="n">
        <f aca="false">Hist_BS!F32</f>
        <v>758</v>
      </c>
      <c r="G32" s="59" t="n">
        <f aca="false">F32</f>
        <v>758</v>
      </c>
      <c r="H32" s="59" t="n">
        <f aca="false">G32</f>
        <v>758</v>
      </c>
      <c r="I32" s="59" t="n">
        <f aca="false">H32</f>
        <v>758</v>
      </c>
      <c r="J32" s="59" t="n">
        <f aca="false">I32</f>
        <v>758</v>
      </c>
      <c r="K32" s="59" t="n">
        <f aca="false">J32</f>
        <v>758</v>
      </c>
    </row>
    <row r="33" customFormat="false" ht="15" hidden="false" customHeight="false" outlineLevel="0" collapsed="false">
      <c r="A33" s="55" t="s">
        <v>555</v>
      </c>
      <c r="B33" s="54"/>
      <c r="C33" s="56" t="n">
        <f aca="false">SUM(C26:C32)</f>
        <v>3833</v>
      </c>
      <c r="D33" s="56" t="n">
        <f aca="false">SUM(D26:D32)</f>
        <v>4312</v>
      </c>
      <c r="E33" s="56" t="n">
        <f aca="false">SUM(E26:E32)</f>
        <v>4274</v>
      </c>
      <c r="F33" s="56" t="n">
        <f aca="false">SUM(F26:F32)</f>
        <v>4181</v>
      </c>
      <c r="G33" s="56" t="n">
        <f aca="false">SUM(G26:G32)</f>
        <v>4313.37312990987</v>
      </c>
      <c r="H33" s="56" t="n">
        <f aca="false">SUM(H26:H32)</f>
        <v>4466.29242421677</v>
      </c>
      <c r="I33" s="56" t="n">
        <f aca="false">SUM(I26:I32)</f>
        <v>4698.97048487006</v>
      </c>
      <c r="J33" s="56" t="n">
        <f aca="false">SUM(J26:J32)</f>
        <v>4883.45359672997</v>
      </c>
      <c r="K33" s="56" t="n">
        <f aca="false">SUM(K26:K32)</f>
        <v>5086.52309904505</v>
      </c>
    </row>
    <row r="35" customFormat="false" ht="15" hidden="false" customHeight="false" outlineLevel="0" collapsed="false">
      <c r="A35" s="53" t="s">
        <v>556</v>
      </c>
      <c r="B35" s="54" t="s">
        <v>493</v>
      </c>
      <c r="C35" s="24" t="n">
        <f aca="false">Hist_BS!C35</f>
        <v>1592</v>
      </c>
      <c r="D35" s="24" t="n">
        <f aca="false">Hist_BS!D35</f>
        <v>2135</v>
      </c>
      <c r="E35" s="24" t="n">
        <f aca="false">Hist_BS!E35</f>
        <v>2715</v>
      </c>
      <c r="F35" s="24" t="n">
        <f aca="false">Hist_BS!F35</f>
        <v>3433</v>
      </c>
      <c r="G35" s="24" t="n">
        <f aca="false">WC_Schedule!G16</f>
        <v>3595.10487888329</v>
      </c>
      <c r="H35" s="24" t="n">
        <f aca="false">WC_Schedule!H16</f>
        <v>3921.10944844531</v>
      </c>
      <c r="I35" s="24" t="n">
        <f aca="false">WC_Schedule!I16</f>
        <v>4323.08403740124</v>
      </c>
      <c r="J35" s="24" t="n">
        <f aca="false">WC_Schedule!J16</f>
        <v>4901.80098712549</v>
      </c>
      <c r="K35" s="24" t="n">
        <f aca="false">WC_Schedule!K16</f>
        <v>5279.13113143999</v>
      </c>
    </row>
    <row r="36" customFormat="false" ht="15" hidden="false" customHeight="false" outlineLevel="0" collapsed="false">
      <c r="A36" s="53" t="s">
        <v>557</v>
      </c>
      <c r="B36" s="54" t="s">
        <v>493</v>
      </c>
      <c r="C36" s="24" t="n">
        <f aca="false">Hist_BS!C36</f>
        <v>2192</v>
      </c>
      <c r="D36" s="24" t="n">
        <f aca="false">Hist_BS!D36</f>
        <v>2533</v>
      </c>
      <c r="E36" s="24" t="n">
        <f aca="false">Hist_BS!E36</f>
        <v>2511</v>
      </c>
      <c r="F36" s="24" t="n">
        <f aca="false">Hist_BS!F36</f>
        <v>3035</v>
      </c>
      <c r="G36" s="24" t="n">
        <f aca="false">WC_Schedule!G15</f>
        <v>3220.68850027397</v>
      </c>
      <c r="H36" s="24" t="n">
        <f aca="false">WC_Schedule!H15</f>
        <v>4011.12535245894</v>
      </c>
      <c r="I36" s="24" t="n">
        <f aca="false">WC_Schedule!I15</f>
        <v>4462.53836118837</v>
      </c>
      <c r="J36" s="24" t="n">
        <f aca="false">WC_Schedule!J15</f>
        <v>5020.80047899784</v>
      </c>
      <c r="K36" s="24" t="n">
        <f aca="false">WC_Schedule!K15</f>
        <v>5514.51379940403</v>
      </c>
    </row>
    <row r="37" customFormat="false" ht="15" hidden="false" customHeight="false" outlineLevel="0" collapsed="false">
      <c r="A37" s="53" t="s">
        <v>559</v>
      </c>
      <c r="B37" s="54" t="s">
        <v>493</v>
      </c>
      <c r="C37" s="24" t="n">
        <f aca="false">Hist_BS!C38</f>
        <v>307</v>
      </c>
      <c r="D37" s="24" t="n">
        <f aca="false">Hist_BS!D38</f>
        <v>501</v>
      </c>
      <c r="E37" s="24" t="n">
        <f aca="false">Hist_BS!E38</f>
        <v>399</v>
      </c>
      <c r="F37" s="24" t="n">
        <f aca="false">Hist_BS!F38</f>
        <v>277</v>
      </c>
      <c r="G37" s="59" t="n">
        <f aca="false">F37</f>
        <v>277</v>
      </c>
      <c r="H37" s="59" t="n">
        <f aca="false">G37</f>
        <v>277</v>
      </c>
      <c r="I37" s="59" t="n">
        <f aca="false">H37</f>
        <v>277</v>
      </c>
      <c r="J37" s="59" t="n">
        <f aca="false">I37</f>
        <v>277</v>
      </c>
      <c r="K37" s="59" t="n">
        <f aca="false">J37</f>
        <v>277</v>
      </c>
    </row>
    <row r="38" customFormat="false" ht="15" hidden="false" customHeight="false" outlineLevel="0" collapsed="false">
      <c r="A38" s="53" t="s">
        <v>757</v>
      </c>
      <c r="B38" s="54" t="s">
        <v>493</v>
      </c>
      <c r="C38" s="24" t="n">
        <f aca="false">Hist_BS!C39+Hist_BS!C40</f>
        <v>1647</v>
      </c>
      <c r="D38" s="24" t="n">
        <f aca="false">Hist_BS!D39+Hist_BS!D40</f>
        <v>1703</v>
      </c>
      <c r="E38" s="24" t="n">
        <f aca="false">Hist_BS!E39+Hist_BS!E40</f>
        <v>2575</v>
      </c>
      <c r="F38" s="24" t="n">
        <f aca="false">Hist_BS!F39+Hist_BS!F40</f>
        <v>2803</v>
      </c>
      <c r="G38" s="24" t="n">
        <f aca="false">WC_Schedule!G17</f>
        <v>3039.24126082192</v>
      </c>
      <c r="H38" s="24" t="n">
        <f aca="false">WC_Schedule!H17</f>
        <v>3281.82983383004</v>
      </c>
      <c r="I38" s="24" t="n">
        <f aca="false">WC_Schedule!I17</f>
        <v>3581.77421095383</v>
      </c>
      <c r="J38" s="24" t="n">
        <f aca="false">WC_Schedule!J17</f>
        <v>3977.51726258271</v>
      </c>
      <c r="K38" s="24" t="n">
        <f aca="false">WC_Schedule!K17</f>
        <v>4353.56352584529</v>
      </c>
    </row>
    <row r="39" customFormat="false" ht="15" hidden="false" customHeight="false" outlineLevel="0" collapsed="false">
      <c r="A39" s="53" t="s">
        <v>558</v>
      </c>
      <c r="B39" s="54" t="s">
        <v>493</v>
      </c>
      <c r="C39" s="24" t="n">
        <f aca="false">Hist_BS!C37</f>
        <v>708</v>
      </c>
      <c r="D39" s="24" t="n">
        <f aca="false">Hist_BS!D37</f>
        <v>852</v>
      </c>
      <c r="E39" s="24" t="n">
        <f aca="false">Hist_BS!E37</f>
        <v>678</v>
      </c>
      <c r="F39" s="24" t="n">
        <f aca="false">Hist_BS!F37</f>
        <v>781</v>
      </c>
      <c r="G39" s="24" t="n">
        <f aca="false">Cash_Flow!G33</f>
        <v>1098.33749141709</v>
      </c>
      <c r="H39" s="24" t="n">
        <f aca="false">Cash_Flow!H33</f>
        <v>1300.577824034</v>
      </c>
      <c r="I39" s="24" t="n">
        <f aca="false">Cash_Flow!I33</f>
        <v>1990.80466065016</v>
      </c>
      <c r="J39" s="24" t="n">
        <f aca="false">Cash_Flow!J33</f>
        <v>2328.16853424424</v>
      </c>
      <c r="K39" s="24" t="n">
        <f aca="false">Cash_Flow!K33</f>
        <v>3365.20828764719</v>
      </c>
    </row>
    <row r="40" customFormat="false" ht="15" hidden="false" customHeight="false" outlineLevel="0" collapsed="false">
      <c r="A40" s="55" t="s">
        <v>562</v>
      </c>
      <c r="B40" s="54"/>
      <c r="C40" s="56" t="n">
        <f aca="false">SUM(C35:C39)</f>
        <v>6446</v>
      </c>
      <c r="D40" s="56" t="n">
        <f aca="false">SUM(D35:D39)</f>
        <v>7724</v>
      </c>
      <c r="E40" s="56" t="n">
        <f aca="false">SUM(E35:E39)</f>
        <v>8878</v>
      </c>
      <c r="F40" s="56" t="n">
        <f aca="false">SUM(F35:F39)</f>
        <v>10329</v>
      </c>
      <c r="G40" s="56" t="n">
        <f aca="false">SUM(G35:G39)</f>
        <v>11230.3721313963</v>
      </c>
      <c r="H40" s="56" t="n">
        <f aca="false">SUM(H35:H39)</f>
        <v>12791.6424587683</v>
      </c>
      <c r="I40" s="56" t="n">
        <f aca="false">SUM(I35:I39)</f>
        <v>14635.2012701936</v>
      </c>
      <c r="J40" s="56" t="n">
        <f aca="false">SUM(J35:J39)</f>
        <v>16505.2872629503</v>
      </c>
      <c r="K40" s="56" t="n">
        <f aca="false">SUM(K35:K39)</f>
        <v>18789.4167443365</v>
      </c>
    </row>
    <row r="41" customFormat="false" ht="15" hidden="false" customHeight="false" outlineLevel="0" collapsed="false">
      <c r="A41" s="55" t="s">
        <v>563</v>
      </c>
      <c r="B41" s="54"/>
      <c r="C41" s="56" t="n">
        <f aca="false">C33+C40</f>
        <v>10279</v>
      </c>
      <c r="D41" s="56" t="n">
        <f aca="false">D33+D40</f>
        <v>12036</v>
      </c>
      <c r="E41" s="56" t="n">
        <f aca="false">E33+E40</f>
        <v>13152</v>
      </c>
      <c r="F41" s="56" t="n">
        <f aca="false">F33+F40</f>
        <v>14510</v>
      </c>
      <c r="G41" s="56" t="n">
        <f aca="false">G33+G40</f>
        <v>15543.7452613061</v>
      </c>
      <c r="H41" s="56" t="n">
        <f aca="false">H33+H40</f>
        <v>17257.9348829851</v>
      </c>
      <c r="I41" s="56" t="n">
        <f aca="false">I33+I40</f>
        <v>19334.1717550637</v>
      </c>
      <c r="J41" s="56" t="n">
        <f aca="false">J33+J40</f>
        <v>21388.7408596803</v>
      </c>
      <c r="K41" s="56" t="n">
        <f aca="false">K33+K40</f>
        <v>23875.9398433815</v>
      </c>
    </row>
    <row r="43" customFormat="false" ht="15" hidden="false" customHeight="false" outlineLevel="0" collapsed="false">
      <c r="A43" s="75" t="s">
        <v>758</v>
      </c>
      <c r="B43" s="54"/>
      <c r="C43" s="69" t="n">
        <f aca="false">C41-C23</f>
        <v>0</v>
      </c>
      <c r="D43" s="69" t="n">
        <f aca="false">D41-D23</f>
        <v>1</v>
      </c>
      <c r="E43" s="69" t="n">
        <f aca="false">E41-E23</f>
        <v>0</v>
      </c>
      <c r="F43" s="69" t="n">
        <f aca="false">F41-F23</f>
        <v>0</v>
      </c>
      <c r="G43" s="69" t="n">
        <f aca="false">G41-G23</f>
        <v>0</v>
      </c>
      <c r="H43" s="69" t="n">
        <f aca="false">H41-H23</f>
        <v>0</v>
      </c>
      <c r="I43" s="69" t="n">
        <f aca="false">I41-I23</f>
        <v>0</v>
      </c>
      <c r="J43" s="69" t="n">
        <f aca="false">J41-J23</f>
        <v>0</v>
      </c>
      <c r="K43" s="69" t="n">
        <f aca="false">K41-K23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1" min="3" style="0" width="11.5"/>
  </cols>
  <sheetData>
    <row r="1" customFormat="false" ht="17.35" hidden="false" customHeight="false" outlineLevel="0" collapsed="false">
      <c r="A1" s="17" t="s">
        <v>759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8" t="s">
        <v>483</v>
      </c>
    </row>
    <row r="4" customFormat="false" ht="15" hidden="false" customHeight="false" outlineLevel="0" collapsed="false">
      <c r="C4" s="48" t="s">
        <v>484</v>
      </c>
      <c r="G4" s="48" t="s">
        <v>597</v>
      </c>
    </row>
    <row r="5" customFormat="false" ht="15" hidden="false" customHeight="false" outlineLevel="0" collapsed="false">
      <c r="A5" s="49" t="s">
        <v>485</v>
      </c>
      <c r="B5" s="49" t="s">
        <v>486</v>
      </c>
      <c r="C5" s="50" t="s">
        <v>487</v>
      </c>
      <c r="D5" s="50" t="s">
        <v>488</v>
      </c>
      <c r="E5" s="50" t="s">
        <v>489</v>
      </c>
      <c r="F5" s="50" t="s">
        <v>490</v>
      </c>
      <c r="G5" s="60" t="s">
        <v>598</v>
      </c>
      <c r="H5" s="60" t="s">
        <v>599</v>
      </c>
      <c r="I5" s="60" t="s">
        <v>600</v>
      </c>
      <c r="J5" s="60" t="s">
        <v>601</v>
      </c>
      <c r="K5" s="60" t="s">
        <v>602</v>
      </c>
    </row>
    <row r="6" customFormat="false" ht="15" hidden="false" customHeight="false" outlineLevel="0" collapsed="false">
      <c r="A6" s="51" t="s">
        <v>566</v>
      </c>
      <c r="B6" s="52"/>
      <c r="C6" s="52"/>
      <c r="D6" s="52"/>
      <c r="E6" s="52"/>
      <c r="F6" s="52"/>
      <c r="G6" s="52"/>
      <c r="H6" s="52"/>
      <c r="I6" s="52"/>
      <c r="J6" s="52"/>
      <c r="K6" s="52"/>
    </row>
    <row r="7" customFormat="false" ht="15" hidden="false" customHeight="false" outlineLevel="0" collapsed="false">
      <c r="A7" s="53" t="s">
        <v>567</v>
      </c>
      <c r="B7" s="54"/>
      <c r="C7" s="24" t="n">
        <f aca="false">Hist_CF!C7</f>
        <v>306</v>
      </c>
      <c r="D7" s="24" t="n">
        <f aca="false">Hist_CF!D7</f>
        <v>484</v>
      </c>
      <c r="E7" s="24" t="n">
        <f aca="false">Hist_CF!E7</f>
        <v>1191</v>
      </c>
      <c r="F7" s="24" t="n">
        <f aca="false">Hist_CF!F7</f>
        <v>558</v>
      </c>
      <c r="G7" s="24" t="n">
        <f aca="false">Income_Statement!G23</f>
        <v>1049.43506588987</v>
      </c>
      <c r="H7" s="24" t="n">
        <f aca="false">Income_Statement!H23</f>
        <v>1312.95468615971</v>
      </c>
      <c r="I7" s="24" t="n">
        <f aca="false">Income_Statement!I23</f>
        <v>1610.48576761508</v>
      </c>
      <c r="J7" s="24" t="n">
        <f aca="false">Income_Statement!J23</f>
        <v>1769.45578465922</v>
      </c>
      <c r="K7" s="24" t="n">
        <f aca="false">Income_Statement!K23</f>
        <v>2042.49235411265</v>
      </c>
    </row>
    <row r="8" customFormat="false" ht="15" hidden="false" customHeight="false" outlineLevel="0" collapsed="false">
      <c r="A8" s="53" t="s">
        <v>568</v>
      </c>
      <c r="B8" s="54"/>
      <c r="C8" s="24" t="n">
        <f aca="false">Hist_CF!C8</f>
        <v>40</v>
      </c>
      <c r="D8" s="24" t="n">
        <f aca="false">Hist_CF!D8</f>
        <v>48</v>
      </c>
      <c r="E8" s="24" t="n">
        <f aca="false">Hist_CF!E8</f>
        <v>62</v>
      </c>
      <c r="F8" s="24" t="n">
        <f aca="false">Hist_CF!F8</f>
        <v>84</v>
      </c>
      <c r="G8" s="24" t="n">
        <f aca="false">Income_Statement!G16</f>
        <v>92.8028942501299</v>
      </c>
      <c r="H8" s="24" t="n">
        <f aca="false">Income_Statement!H16</f>
        <v>105.668059584088</v>
      </c>
      <c r="I8" s="24" t="n">
        <f aca="false">Income_Statement!I16</f>
        <v>123.091938431455</v>
      </c>
      <c r="J8" s="24" t="n">
        <f aca="false">Income_Statement!J16</f>
        <v>139.195506032882</v>
      </c>
      <c r="K8" s="24" t="n">
        <f aca="false">Income_Statement!K16</f>
        <v>157.115320056526</v>
      </c>
    </row>
    <row r="9" customFormat="false" ht="15" hidden="false" customHeight="false" outlineLevel="0" collapsed="false">
      <c r="A9" s="53" t="s">
        <v>569</v>
      </c>
      <c r="B9" s="54"/>
      <c r="C9" s="24" t="n">
        <f aca="false">Hist_CF!C9</f>
        <v>30</v>
      </c>
      <c r="D9" s="24" t="n">
        <f aca="false">Hist_CF!D9</f>
        <v>56</v>
      </c>
      <c r="E9" s="24" t="n">
        <f aca="false">Hist_CF!E9</f>
        <v>62</v>
      </c>
      <c r="F9" s="24" t="n">
        <f aca="false">Hist_CF!F9</f>
        <v>87</v>
      </c>
      <c r="G9" s="24" t="n">
        <f aca="false">Income_Statement!G19</f>
        <v>100.99806966</v>
      </c>
      <c r="H9" s="24" t="n">
        <f aca="false">Income_Statement!H19</f>
        <v>104.575768117679</v>
      </c>
      <c r="I9" s="24" t="n">
        <f aca="false">Income_Statement!I19</f>
        <v>107.159638278537</v>
      </c>
      <c r="J9" s="24" t="n">
        <f aca="false">Income_Statement!J19</f>
        <v>118.999491872351</v>
      </c>
      <c r="K9" s="24" t="n">
        <f aca="false">Income_Statement!K19</f>
        <v>132.420890577794</v>
      </c>
    </row>
    <row r="10" customFormat="false" ht="15" hidden="false" customHeight="false" outlineLevel="0" collapsed="false">
      <c r="A10" s="53" t="s">
        <v>760</v>
      </c>
      <c r="B10" s="54"/>
      <c r="C10" s="24" t="n">
        <f aca="false">Hist_CF!C10</f>
        <v>333</v>
      </c>
      <c r="D10" s="24" t="n">
        <f aca="false">Hist_CF!D10</f>
        <v>304</v>
      </c>
      <c r="E10" s="24" t="n">
        <f aca="false">Hist_CF!E10</f>
        <v>-134</v>
      </c>
      <c r="F10" s="24" t="n">
        <f aca="false">Hist_CF!F10</f>
        <v>-95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0</v>
      </c>
    </row>
    <row r="11" customFormat="false" ht="15" hidden="false" customHeight="false" outlineLevel="0" collapsed="false">
      <c r="A11" s="53" t="s">
        <v>571</v>
      </c>
      <c r="B11" s="54"/>
      <c r="C11" s="24" t="n">
        <f aca="false">Hist_CF!C11</f>
        <v>-384</v>
      </c>
      <c r="D11" s="24" t="n">
        <f aca="false">Hist_CF!D11</f>
        <v>80</v>
      </c>
      <c r="E11" s="24" t="n">
        <f aca="false">Hist_CF!E11</f>
        <v>-1094</v>
      </c>
      <c r="F11" s="24" t="n">
        <f aca="false">Hist_CF!F11</f>
        <v>-352</v>
      </c>
      <c r="G11" s="24" t="n">
        <f aca="false">WC_Schedule!G22</f>
        <v>-152.67429581589</v>
      </c>
      <c r="H11" s="24" t="n">
        <f aca="false">WC_Schedule!H22</f>
        <v>-473.846118852137</v>
      </c>
      <c r="I11" s="24" t="n">
        <f aca="false">WC_Schedule!I22</f>
        <v>-110.731186645851</v>
      </c>
      <c r="J11" s="24" t="n">
        <f aca="false">WC_Schedule!J22</f>
        <v>-655.554467088097</v>
      </c>
      <c r="K11" s="24" t="n">
        <f aca="false">WC_Schedule!K22</f>
        <v>-108.881281879848</v>
      </c>
    </row>
    <row r="12" customFormat="false" ht="15" hidden="false" customHeight="false" outlineLevel="0" collapsed="false">
      <c r="A12" s="53" t="s">
        <v>572</v>
      </c>
      <c r="B12" s="54"/>
      <c r="C12" s="24" t="n">
        <f aca="false">Hist_CF!C12</f>
        <v>-166</v>
      </c>
      <c r="D12" s="24" t="n">
        <f aca="false">Hist_CF!D12</f>
        <v>-212</v>
      </c>
      <c r="E12" s="24" t="n">
        <f aca="false">Hist_CF!E12</f>
        <v>-311</v>
      </c>
      <c r="F12" s="24" t="n">
        <f aca="false">Hist_CF!F12</f>
        <v>-211</v>
      </c>
      <c r="G12" s="24" t="n">
        <f aca="false">-Income_Statement!G24</f>
        <v>-314.830519766961</v>
      </c>
      <c r="H12" s="24" t="n">
        <f aca="false">-Income_Statement!H24</f>
        <v>-393.886405847912</v>
      </c>
      <c r="I12" s="24" t="n">
        <f aca="false">-Income_Statement!I24</f>
        <v>-483.145730284525</v>
      </c>
      <c r="J12" s="24" t="n">
        <f aca="false">-Income_Statement!J24</f>
        <v>-530.836735397766</v>
      </c>
      <c r="K12" s="24" t="n">
        <f aca="false">-Income_Statement!K24</f>
        <v>-612.747706233794</v>
      </c>
    </row>
    <row r="13" customFormat="false" ht="15" hidden="false" customHeight="false" outlineLevel="0" collapsed="false">
      <c r="A13" s="55" t="s">
        <v>573</v>
      </c>
      <c r="B13" s="54"/>
      <c r="C13" s="56" t="n">
        <f aca="false">SUM(C7:C12)</f>
        <v>159</v>
      </c>
      <c r="D13" s="56" t="n">
        <f aca="false">SUM(D7:D12)</f>
        <v>760</v>
      </c>
      <c r="E13" s="56" t="n">
        <f aca="false">SUM(E7:E12)</f>
        <v>-224</v>
      </c>
      <c r="F13" s="56" t="n">
        <f aca="false">SUM(F7:F12)</f>
        <v>71</v>
      </c>
      <c r="G13" s="56" t="n">
        <f aca="false">SUM(G7:G12)</f>
        <v>775.731214217149</v>
      </c>
      <c r="H13" s="56" t="n">
        <f aca="false">SUM(H7:H12)</f>
        <v>655.465989161426</v>
      </c>
      <c r="I13" s="56" t="n">
        <f aca="false">SUM(I7:I12)</f>
        <v>1246.8604273947</v>
      </c>
      <c r="J13" s="56" t="n">
        <f aca="false">SUM(J7:J12)</f>
        <v>841.25958007859</v>
      </c>
      <c r="K13" s="56" t="n">
        <f aca="false">SUM(K7:K12)</f>
        <v>1610.39957663333</v>
      </c>
    </row>
    <row r="15" customFormat="false" ht="15" hidden="false" customHeight="false" outlineLevel="0" collapsed="false">
      <c r="A15" s="51" t="s">
        <v>574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</row>
    <row r="16" customFormat="false" ht="15" hidden="false" customHeight="false" outlineLevel="0" collapsed="false">
      <c r="A16" s="53" t="s">
        <v>761</v>
      </c>
      <c r="B16" s="54"/>
      <c r="C16" s="24" t="n">
        <f aca="false">Hist_CF!C16</f>
        <v>-180</v>
      </c>
      <c r="D16" s="24" t="n">
        <f aca="false">Hist_CF!D16</f>
        <v>-293</v>
      </c>
      <c r="E16" s="24" t="n">
        <f aca="false">Hist_CF!E16</f>
        <v>-208</v>
      </c>
      <c r="F16" s="24" t="n">
        <f aca="false">Hist_CF!F16</f>
        <v>-133</v>
      </c>
      <c r="G16" s="24" t="n">
        <f aca="false">-Capex_Dep!G58</f>
        <v>-225.17602416</v>
      </c>
      <c r="H16" s="24" t="n">
        <f aca="false">-Capex_Dep!H58</f>
        <v>-258.587353890989</v>
      </c>
      <c r="I16" s="24" t="n">
        <f aca="false">-Capex_Dep!I58</f>
        <v>-355.769999084741</v>
      </c>
      <c r="J16" s="24" t="n">
        <f aca="false">-Capex_Dep!J58</f>
        <v>-323.678617892796</v>
      </c>
      <c r="K16" s="24" t="n">
        <f aca="false">-Capex_Dep!K58</f>
        <v>-360.1848223716</v>
      </c>
    </row>
    <row r="17" customFormat="false" ht="15" hidden="false" customHeight="false" outlineLevel="0" collapsed="false">
      <c r="A17" s="53" t="s">
        <v>576</v>
      </c>
      <c r="B17" s="54"/>
      <c r="C17" s="24" t="n">
        <f aca="false">Hist_CF!C17</f>
        <v>2</v>
      </c>
      <c r="D17" s="24" t="n">
        <f aca="false">Hist_CF!D17</f>
        <v>5</v>
      </c>
      <c r="E17" s="24" t="n">
        <f aca="false">Hist_CF!E17</f>
        <v>17</v>
      </c>
      <c r="F17" s="24" t="n">
        <f aca="false">Hist_CF!F17</f>
        <v>4</v>
      </c>
      <c r="G17" s="23" t="n">
        <v>0</v>
      </c>
      <c r="H17" s="23" t="n">
        <v>0</v>
      </c>
      <c r="I17" s="23" t="n">
        <v>0</v>
      </c>
      <c r="J17" s="23" t="n">
        <v>0</v>
      </c>
      <c r="K17" s="23" t="n">
        <v>0</v>
      </c>
    </row>
    <row r="18" customFormat="false" ht="15" hidden="false" customHeight="false" outlineLevel="0" collapsed="false">
      <c r="A18" s="53" t="s">
        <v>762</v>
      </c>
      <c r="B18" s="54"/>
      <c r="C18" s="24" t="n">
        <f aca="false">Hist_CF!C18</f>
        <v>25</v>
      </c>
      <c r="D18" s="24" t="n">
        <f aca="false">Hist_CF!D18</f>
        <v>-318</v>
      </c>
      <c r="E18" s="24" t="n">
        <f aca="false">Hist_CF!E18</f>
        <v>218</v>
      </c>
      <c r="F18" s="24" t="n">
        <f aca="false">Hist_CF!F18</f>
        <v>306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0</v>
      </c>
    </row>
    <row r="19" customFormat="false" ht="15" hidden="false" customHeight="false" outlineLevel="0" collapsed="false">
      <c r="A19" s="53" t="s">
        <v>578</v>
      </c>
      <c r="B19" s="54"/>
      <c r="C19" s="24" t="n">
        <f aca="false">Hist_CF!C19</f>
        <v>71</v>
      </c>
      <c r="D19" s="24" t="n">
        <f aca="false">Hist_CF!D19</f>
        <v>83</v>
      </c>
      <c r="E19" s="24" t="n">
        <f aca="false">Hist_CF!E19</f>
        <v>131</v>
      </c>
      <c r="F19" s="24" t="n">
        <f aca="false">Hist_CF!F19</f>
        <v>105</v>
      </c>
      <c r="G19" s="23" t="n">
        <v>0</v>
      </c>
      <c r="H19" s="23" t="n">
        <v>0</v>
      </c>
      <c r="I19" s="23" t="n">
        <v>0</v>
      </c>
      <c r="J19" s="23" t="n">
        <v>0</v>
      </c>
      <c r="K19" s="23" t="n">
        <v>0</v>
      </c>
    </row>
    <row r="20" customFormat="false" ht="15" hidden="false" customHeight="false" outlineLevel="0" collapsed="false">
      <c r="A20" s="55" t="s">
        <v>579</v>
      </c>
      <c r="B20" s="54"/>
      <c r="C20" s="56" t="n">
        <f aca="false">SUM(C16:C19)</f>
        <v>-82</v>
      </c>
      <c r="D20" s="56" t="n">
        <f aca="false">SUM(D16:D19)</f>
        <v>-523</v>
      </c>
      <c r="E20" s="56" t="n">
        <f aca="false">SUM(E16:E19)</f>
        <v>158</v>
      </c>
      <c r="F20" s="56" t="n">
        <f aca="false">SUM(F16:F19)</f>
        <v>282</v>
      </c>
      <c r="G20" s="56" t="n">
        <f aca="false">SUM(G16:G19)</f>
        <v>-225.17602416</v>
      </c>
      <c r="H20" s="56" t="n">
        <f aca="false">SUM(H16:H19)</f>
        <v>-258.587353890989</v>
      </c>
      <c r="I20" s="56" t="n">
        <f aca="false">SUM(I16:I19)</f>
        <v>-355.769999084741</v>
      </c>
      <c r="J20" s="56" t="n">
        <f aca="false">SUM(J16:J19)</f>
        <v>-323.678617892796</v>
      </c>
      <c r="K20" s="56" t="n">
        <f aca="false">SUM(K16:K19)</f>
        <v>-360.1848223716</v>
      </c>
    </row>
    <row r="22" customFormat="false" ht="15" hidden="false" customHeight="false" outlineLevel="0" collapsed="false">
      <c r="A22" s="51" t="s">
        <v>580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</row>
    <row r="23" customFormat="false" ht="15" hidden="false" customHeight="false" outlineLevel="0" collapsed="false">
      <c r="A23" s="53" t="s">
        <v>763</v>
      </c>
      <c r="B23" s="54"/>
      <c r="C23" s="24" t="n">
        <f aca="false">Hist_CF!C23</f>
        <v>1504</v>
      </c>
      <c r="D23" s="24" t="n">
        <f aca="false">Hist_CF!D23</f>
        <v>590</v>
      </c>
      <c r="E23" s="24" t="n">
        <f aca="false">Hist_CF!E23</f>
        <v>454</v>
      </c>
      <c r="F23" s="24" t="n">
        <f aca="false">Hist_CF!F23</f>
        <v>2112</v>
      </c>
      <c r="G23" s="24" t="n">
        <f aca="false">Debt_Schedule!G14+Debt_Schedule!G8+Debt_Schedule!G19</f>
        <v>56.5003710199397</v>
      </c>
      <c r="H23" s="24" t="n">
        <f aca="false">Debt_Schedule!H14+Debt_Schedule!H8+Debt_Schedule!H19</f>
        <v>90.1974654641554</v>
      </c>
      <c r="I23" s="24" t="n">
        <f aca="false">Debt_Schedule!I14+Debt_Schedule!I8+Debt_Schedule!I19</f>
        <v>79.3650465847387</v>
      </c>
      <c r="J23" s="24" t="n">
        <f aca="false">Debt_Schedule!J14+Debt_Schedule!J8+Debt_Schedule!J19</f>
        <v>105.739053280636</v>
      </c>
      <c r="K23" s="24" t="n">
        <f aca="false">Debt_Schedule!K14+Debt_Schedule!K8+Debt_Schedule!K19</f>
        <v>81.0070422190245</v>
      </c>
    </row>
    <row r="24" customFormat="false" ht="15" hidden="false" customHeight="false" outlineLevel="0" collapsed="false">
      <c r="A24" s="53" t="s">
        <v>764</v>
      </c>
      <c r="B24" s="54"/>
      <c r="C24" s="24" t="n">
        <f aca="false">Hist_CF!C24</f>
        <v>-1231</v>
      </c>
      <c r="D24" s="24" t="n">
        <f aca="false">Hist_CF!D24</f>
        <v>-493</v>
      </c>
      <c r="E24" s="24" t="n">
        <f aca="false">Hist_CF!E24</f>
        <v>-304</v>
      </c>
      <c r="F24" s="24" t="n">
        <f aca="false">Hist_CF!F24</f>
        <v>-2039</v>
      </c>
      <c r="G24" s="24" t="n">
        <f aca="false">-Debt_Schedule!G9</f>
        <v>-56.4</v>
      </c>
      <c r="H24" s="24" t="n">
        <f aca="false">-Debt_Schedule!H9</f>
        <v>-47.94</v>
      </c>
      <c r="I24" s="24" t="n">
        <f aca="false">-Debt_Schedule!I9</f>
        <v>-40.749</v>
      </c>
      <c r="J24" s="24" t="n">
        <f aca="false">-Debt_Schedule!J9</f>
        <v>-34.63665</v>
      </c>
      <c r="K24" s="24" t="n">
        <f aca="false">-Debt_Schedule!K9</f>
        <v>-29.4411525</v>
      </c>
    </row>
    <row r="25" customFormat="false" ht="15" hidden="false" customHeight="false" outlineLevel="0" collapsed="false">
      <c r="A25" s="53" t="s">
        <v>583</v>
      </c>
      <c r="B25" s="54"/>
      <c r="C25" s="24" t="n">
        <f aca="false">Hist_CF!C25</f>
        <v>-10</v>
      </c>
      <c r="D25" s="24" t="n">
        <f aca="false">Hist_CF!D25</f>
        <v>-18</v>
      </c>
      <c r="E25" s="24" t="n">
        <f aca="false">Hist_CF!E25</f>
        <v>-14</v>
      </c>
      <c r="F25" s="24" t="n">
        <f aca="false">Hist_CF!F25</f>
        <v>-14</v>
      </c>
      <c r="G25" s="24" t="n">
        <f aca="false">-Debt_Schedule!G20</f>
        <v>-0</v>
      </c>
      <c r="H25" s="24" t="n">
        <f aca="false">-Debt_Schedule!H20</f>
        <v>-0</v>
      </c>
      <c r="I25" s="24" t="n">
        <f aca="false">-Debt_Schedule!I20</f>
        <v>-0</v>
      </c>
      <c r="J25" s="24" t="n">
        <f aca="false">-Debt_Schedule!J20</f>
        <v>-0</v>
      </c>
      <c r="K25" s="24" t="n">
        <f aca="false">-Debt_Schedule!K20</f>
        <v>-0</v>
      </c>
    </row>
    <row r="26" customFormat="false" ht="15" hidden="false" customHeight="false" outlineLevel="0" collapsed="false">
      <c r="A26" s="53" t="s">
        <v>584</v>
      </c>
      <c r="B26" s="54"/>
      <c r="C26" s="24" t="n">
        <f aca="false">Hist_CF!C26</f>
        <v>-25</v>
      </c>
      <c r="D26" s="24" t="n">
        <f aca="false">Hist_CF!D26</f>
        <v>-52</v>
      </c>
      <c r="E26" s="24" t="n">
        <f aca="false">Hist_CF!E26</f>
        <v>-54</v>
      </c>
      <c r="F26" s="24" t="n">
        <f aca="false">Hist_CF!F26</f>
        <v>-89</v>
      </c>
      <c r="G26" s="24" t="n">
        <f aca="false">-Income_Statement!G19</f>
        <v>-100.99806966</v>
      </c>
      <c r="H26" s="24" t="n">
        <f aca="false">-Income_Statement!H19</f>
        <v>-104.575768117679</v>
      </c>
      <c r="I26" s="24" t="n">
        <f aca="false">-Income_Statement!I19</f>
        <v>-107.159638278537</v>
      </c>
      <c r="J26" s="24" t="n">
        <f aca="false">-Income_Statement!J19</f>
        <v>-118.999491872351</v>
      </c>
      <c r="K26" s="24" t="n">
        <f aca="false">-Income_Statement!K19</f>
        <v>-132.420890577794</v>
      </c>
    </row>
    <row r="27" customFormat="false" ht="15" hidden="false" customHeight="false" outlineLevel="0" collapsed="false">
      <c r="A27" s="53" t="s">
        <v>585</v>
      </c>
      <c r="B27" s="54"/>
      <c r="C27" s="24" t="n">
        <f aca="false">Hist_CF!C27</f>
        <v>-183</v>
      </c>
      <c r="D27" s="24" t="n">
        <f aca="false">Hist_CF!D27</f>
        <v>-143</v>
      </c>
      <c r="E27" s="24" t="n">
        <f aca="false">Hist_CF!E27</f>
        <v>-182</v>
      </c>
      <c r="F27" s="24" t="n">
        <f aca="false">Hist_CF!F27</f>
        <v>-232</v>
      </c>
      <c r="G27" s="24" t="n">
        <f aca="false">-Equity_Schedule!G12</f>
        <v>-132.32</v>
      </c>
      <c r="H27" s="24" t="n">
        <f aca="false">-Equity_Schedule!H12</f>
        <v>-132.32</v>
      </c>
      <c r="I27" s="24" t="n">
        <f aca="false">-Equity_Schedule!I12</f>
        <v>-132.32</v>
      </c>
      <c r="J27" s="24" t="n">
        <f aca="false">-Equity_Schedule!J12</f>
        <v>-132.32</v>
      </c>
      <c r="K27" s="24" t="n">
        <f aca="false">-Equity_Schedule!K12</f>
        <v>-132.32</v>
      </c>
    </row>
    <row r="28" customFormat="false" ht="15" hidden="false" customHeight="false" outlineLevel="0" collapsed="false">
      <c r="A28" s="53" t="s">
        <v>765</v>
      </c>
      <c r="B28" s="54"/>
      <c r="C28" s="24" t="n">
        <f aca="false">Hist_CF!C28</f>
        <v>0</v>
      </c>
      <c r="D28" s="24" t="n">
        <f aca="false">Hist_CF!D28</f>
        <v>0</v>
      </c>
      <c r="E28" s="24" t="n">
        <f aca="false">Hist_CF!E28</f>
        <v>0</v>
      </c>
      <c r="F28" s="24" t="n">
        <f aca="false">Hist_CF!F28</f>
        <v>0</v>
      </c>
      <c r="G28" s="23" t="n">
        <v>0</v>
      </c>
      <c r="H28" s="23" t="n">
        <v>0</v>
      </c>
      <c r="I28" s="23" t="n">
        <v>0</v>
      </c>
      <c r="J28" s="23" t="n">
        <v>0</v>
      </c>
      <c r="K28" s="23" t="n">
        <v>0</v>
      </c>
    </row>
    <row r="29" customFormat="false" ht="15" hidden="false" customHeight="false" outlineLevel="0" collapsed="false">
      <c r="A29" s="55" t="s">
        <v>587</v>
      </c>
      <c r="B29" s="54"/>
      <c r="C29" s="56" t="n">
        <f aca="false">SUM(C23:C28)</f>
        <v>55</v>
      </c>
      <c r="D29" s="56" t="n">
        <f aca="false">SUM(D23:D28)</f>
        <v>-116</v>
      </c>
      <c r="E29" s="56" t="n">
        <f aca="false">SUM(E23:E28)</f>
        <v>-100</v>
      </c>
      <c r="F29" s="56" t="n">
        <f aca="false">SUM(F23:F28)</f>
        <v>-262</v>
      </c>
      <c r="G29" s="56" t="n">
        <f aca="false">SUM(G23:G28)</f>
        <v>-233.21769864006</v>
      </c>
      <c r="H29" s="56" t="n">
        <f aca="false">SUM(H23:H28)</f>
        <v>-194.638302653524</v>
      </c>
      <c r="I29" s="56" t="n">
        <f aca="false">SUM(I23:I28)</f>
        <v>-200.863591693798</v>
      </c>
      <c r="J29" s="56" t="n">
        <f aca="false">SUM(J23:J28)</f>
        <v>-180.217088591716</v>
      </c>
      <c r="K29" s="56" t="n">
        <f aca="false">SUM(K23:K28)</f>
        <v>-213.17500085877</v>
      </c>
    </row>
    <row r="31" customFormat="false" ht="15" hidden="false" customHeight="false" outlineLevel="0" collapsed="false">
      <c r="A31" s="55" t="s">
        <v>588</v>
      </c>
      <c r="B31" s="54"/>
      <c r="C31" s="56" t="n">
        <f aca="false">C13+C20+C29</f>
        <v>132</v>
      </c>
      <c r="D31" s="56" t="n">
        <f aca="false">D13+D20+D29</f>
        <v>121</v>
      </c>
      <c r="E31" s="56" t="n">
        <f aca="false">E13+E20+E29</f>
        <v>-166</v>
      </c>
      <c r="F31" s="56" t="n">
        <f aca="false">F13+F20+F29</f>
        <v>91</v>
      </c>
      <c r="G31" s="56" t="n">
        <f aca="false">G13+G20+G29</f>
        <v>317.337491417088</v>
      </c>
      <c r="H31" s="56" t="n">
        <f aca="false">H13+H20+H29</f>
        <v>202.240332616912</v>
      </c>
      <c r="I31" s="56" t="n">
        <f aca="false">I13+I20+I29</f>
        <v>690.226836616159</v>
      </c>
      <c r="J31" s="56" t="n">
        <f aca="false">J13+J20+J29</f>
        <v>337.363873594079</v>
      </c>
      <c r="K31" s="56" t="n">
        <f aca="false">K13+K20+K29</f>
        <v>1037.03975340296</v>
      </c>
    </row>
    <row r="32" customFormat="false" ht="15" hidden="false" customHeight="false" outlineLevel="0" collapsed="false">
      <c r="A32" s="53" t="s">
        <v>589</v>
      </c>
      <c r="B32" s="54"/>
      <c r="C32" s="24" t="n">
        <f aca="false">Hist_CF!C32</f>
        <v>561</v>
      </c>
      <c r="D32" s="24" t="n">
        <f aca="false">Hist_CF!D32</f>
        <v>693</v>
      </c>
      <c r="E32" s="24" t="n">
        <f aca="false">Hist_CF!E32</f>
        <v>816</v>
      </c>
      <c r="F32" s="24" t="n">
        <f aca="false">Hist_CF!F32</f>
        <v>650</v>
      </c>
      <c r="G32" s="24" t="n">
        <f aca="false">Balance_Sheet!F39</f>
        <v>781</v>
      </c>
      <c r="H32" s="24" t="n">
        <f aca="false">Balance_Sheet!G39</f>
        <v>1098.33749141709</v>
      </c>
      <c r="I32" s="24" t="n">
        <f aca="false">Balance_Sheet!H39</f>
        <v>1300.577824034</v>
      </c>
      <c r="J32" s="24" t="n">
        <f aca="false">Balance_Sheet!I39</f>
        <v>1990.80466065016</v>
      </c>
      <c r="K32" s="24" t="n">
        <f aca="false">Balance_Sheet!J39</f>
        <v>2328.16853424424</v>
      </c>
    </row>
    <row r="33" customFormat="false" ht="15" hidden="false" customHeight="false" outlineLevel="0" collapsed="false">
      <c r="A33" s="55" t="s">
        <v>590</v>
      </c>
      <c r="B33" s="54"/>
      <c r="C33" s="56" t="n">
        <f aca="false">C32+C31</f>
        <v>693</v>
      </c>
      <c r="D33" s="56" t="n">
        <f aca="false">D32+D31</f>
        <v>814</v>
      </c>
      <c r="E33" s="56" t="n">
        <f aca="false">E32+E31</f>
        <v>650</v>
      </c>
      <c r="F33" s="56" t="n">
        <f aca="false">F32+F31</f>
        <v>741</v>
      </c>
      <c r="G33" s="56" t="n">
        <f aca="false">G32+G31</f>
        <v>1098.33749141709</v>
      </c>
      <c r="H33" s="56" t="n">
        <f aca="false">H32+H31</f>
        <v>1300.577824034</v>
      </c>
      <c r="I33" s="56" t="n">
        <f aca="false">I32+I31</f>
        <v>1990.80466065016</v>
      </c>
      <c r="J33" s="56" t="n">
        <f aca="false">J32+J31</f>
        <v>2328.16853424424</v>
      </c>
      <c r="K33" s="56" t="n">
        <f aca="false">K32+K31</f>
        <v>3365.20828764719</v>
      </c>
    </row>
    <row r="35" customFormat="false" ht="15" hidden="false" customHeight="false" outlineLevel="0" collapsed="false">
      <c r="A35" s="51" t="s">
        <v>766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</row>
    <row r="36" customFormat="false" ht="15" hidden="false" customHeight="false" outlineLevel="0" collapsed="false">
      <c r="A36" s="53" t="s">
        <v>510</v>
      </c>
      <c r="B36" s="54"/>
      <c r="C36" s="24" t="n">
        <f aca="false">Income_Statement!C17</f>
        <v>533</v>
      </c>
      <c r="D36" s="24" t="n">
        <f aca="false">Income_Statement!D17</f>
        <v>426</v>
      </c>
      <c r="E36" s="24" t="n">
        <f aca="false">Income_Statement!E17</f>
        <v>1055</v>
      </c>
      <c r="F36" s="24" t="n">
        <f aca="false">Income_Statement!F17</f>
        <v>564</v>
      </c>
      <c r="G36" s="24" t="n">
        <f aca="false">Income_Statement!G17</f>
        <v>950.29192354987</v>
      </c>
      <c r="H36" s="24" t="n">
        <f aca="false">Income_Statement!H17</f>
        <v>1206.28248589225</v>
      </c>
      <c r="I36" s="24" t="n">
        <f aca="false">Income_Statement!I17</f>
        <v>1420.00685277947</v>
      </c>
      <c r="J36" s="24" t="n">
        <f aca="false">Income_Statement!J17</f>
        <v>1574.39717692898</v>
      </c>
      <c r="K36" s="24" t="n">
        <f aca="false">Income_Statement!K17</f>
        <v>1776.22968237927</v>
      </c>
    </row>
    <row r="37" customFormat="false" ht="15" hidden="false" customHeight="false" outlineLevel="0" collapsed="false">
      <c r="A37" s="53" t="s">
        <v>767</v>
      </c>
      <c r="B37" s="54"/>
      <c r="C37" s="30" t="n">
        <f aca="false">Income_Statement!C32</f>
        <v>0.558823529411765</v>
      </c>
      <c r="D37" s="30" t="n">
        <f aca="false">Income_Statement!D32</f>
        <v>0.491735537190083</v>
      </c>
      <c r="E37" s="30" t="n">
        <f aca="false">Income_Statement!E32</f>
        <v>0.298908480268682</v>
      </c>
      <c r="F37" s="30" t="n">
        <f aca="false">Income_Statement!F32</f>
        <v>0.335125448028674</v>
      </c>
      <c r="G37" s="30" t="n">
        <f aca="false">Assumptions!G25</f>
        <v>0.3</v>
      </c>
      <c r="H37" s="30" t="n">
        <f aca="false">Assumptions!H25</f>
        <v>0.3</v>
      </c>
      <c r="I37" s="30" t="n">
        <f aca="false">Assumptions!I25</f>
        <v>0.3</v>
      </c>
      <c r="J37" s="30" t="n">
        <f aca="false">Assumptions!J25</f>
        <v>0.3</v>
      </c>
      <c r="K37" s="30" t="n">
        <f aca="false">Assumptions!K25</f>
        <v>0.3</v>
      </c>
    </row>
    <row r="38" customFormat="false" ht="15" hidden="false" customHeight="false" outlineLevel="0" collapsed="false">
      <c r="A38" s="53" t="s">
        <v>768</v>
      </c>
      <c r="B38" s="54"/>
      <c r="C38" s="59" t="n">
        <f aca="false">-C36*C37</f>
        <v>-297.852941176471</v>
      </c>
      <c r="D38" s="59" t="n">
        <f aca="false">-D36*D37</f>
        <v>-209.479338842975</v>
      </c>
      <c r="E38" s="59" t="n">
        <f aca="false">-E36*E37</f>
        <v>-315.348446683459</v>
      </c>
      <c r="F38" s="59" t="n">
        <f aca="false">-F36*F37</f>
        <v>-189.010752688172</v>
      </c>
      <c r="G38" s="59" t="n">
        <f aca="false">-G36*G37</f>
        <v>-285.087577064961</v>
      </c>
      <c r="H38" s="59" t="n">
        <f aca="false">-H36*H37</f>
        <v>-361.884745767676</v>
      </c>
      <c r="I38" s="59" t="n">
        <f aca="false">-I36*I37</f>
        <v>-426.002055833842</v>
      </c>
      <c r="J38" s="59" t="n">
        <f aca="false">-J36*J37</f>
        <v>-472.319153078693</v>
      </c>
      <c r="K38" s="59" t="n">
        <f aca="false">-K36*K37</f>
        <v>-532.86890471378</v>
      </c>
    </row>
    <row r="39" customFormat="false" ht="15" hidden="false" customHeight="false" outlineLevel="0" collapsed="false">
      <c r="A39" s="55" t="s">
        <v>769</v>
      </c>
      <c r="B39" s="54"/>
      <c r="C39" s="56" t="n">
        <f aca="false">C36+C38</f>
        <v>235.147058823529</v>
      </c>
      <c r="D39" s="56" t="n">
        <f aca="false">D36+D38</f>
        <v>216.520661157025</v>
      </c>
      <c r="E39" s="56" t="n">
        <f aca="false">E36+E38</f>
        <v>739.651553316541</v>
      </c>
      <c r="F39" s="56" t="n">
        <f aca="false">F36+F38</f>
        <v>374.989247311828</v>
      </c>
      <c r="G39" s="56" t="n">
        <f aca="false">G36+G38</f>
        <v>665.204346484909</v>
      </c>
      <c r="H39" s="56" t="n">
        <f aca="false">H36+H38</f>
        <v>844.397740124578</v>
      </c>
      <c r="I39" s="56" t="n">
        <f aca="false">I36+I38</f>
        <v>994.004796945631</v>
      </c>
      <c r="J39" s="56" t="n">
        <f aca="false">J36+J38</f>
        <v>1102.07802385028</v>
      </c>
      <c r="K39" s="56" t="n">
        <f aca="false">K36+K38</f>
        <v>1243.36077766549</v>
      </c>
    </row>
    <row r="40" customFormat="false" ht="15" hidden="false" customHeight="false" outlineLevel="0" collapsed="false">
      <c r="A40" s="53" t="s">
        <v>568</v>
      </c>
      <c r="B40" s="54"/>
      <c r="G40" s="24" t="n">
        <f aca="false">Income_Statement!G16</f>
        <v>92.8028942501299</v>
      </c>
      <c r="H40" s="24" t="n">
        <f aca="false">Income_Statement!H16</f>
        <v>105.668059584088</v>
      </c>
      <c r="I40" s="24" t="n">
        <f aca="false">Income_Statement!I16</f>
        <v>123.091938431455</v>
      </c>
      <c r="J40" s="24" t="n">
        <f aca="false">Income_Statement!J16</f>
        <v>139.195506032882</v>
      </c>
      <c r="K40" s="24" t="n">
        <f aca="false">Income_Statement!K16</f>
        <v>157.115320056526</v>
      </c>
    </row>
    <row r="41" customFormat="false" ht="15" hidden="false" customHeight="false" outlineLevel="0" collapsed="false">
      <c r="A41" s="53" t="s">
        <v>770</v>
      </c>
      <c r="B41" s="54"/>
      <c r="G41" s="24" t="n">
        <f aca="false">-(Capex_Dep!G9-Capex_Dep!G36)</f>
        <v>-205.30755144</v>
      </c>
      <c r="H41" s="24" t="n">
        <f aca="false">-(Capex_Dep!H9-Capex_Dep!H36)</f>
        <v>-235.770822665314</v>
      </c>
      <c r="I41" s="24" t="n">
        <f aca="false">-(Capex_Dep!I9-Capex_Dep!I36)</f>
        <v>-330.051685897893</v>
      </c>
      <c r="J41" s="24" t="n">
        <f aca="false">-(Capex_Dep!J9-Capex_Dep!J36)</f>
        <v>-295.118739843432</v>
      </c>
      <c r="K41" s="24" t="n">
        <f aca="false">-(Capex_Dep!K9-Capex_Dep!K36)</f>
        <v>-328.403808632929</v>
      </c>
    </row>
    <row r="42" customFormat="false" ht="15" hidden="false" customHeight="false" outlineLevel="0" collapsed="false">
      <c r="A42" s="53" t="s">
        <v>771</v>
      </c>
      <c r="B42" s="54"/>
      <c r="G42" s="24" t="n">
        <f aca="false">WC_Schedule!G22</f>
        <v>-152.67429581589</v>
      </c>
      <c r="H42" s="24" t="n">
        <f aca="false">WC_Schedule!H22</f>
        <v>-473.846118852137</v>
      </c>
      <c r="I42" s="24" t="n">
        <f aca="false">WC_Schedule!I22</f>
        <v>-110.731186645851</v>
      </c>
      <c r="J42" s="24" t="n">
        <f aca="false">WC_Schedule!J22</f>
        <v>-655.554467088097</v>
      </c>
      <c r="K42" s="24" t="n">
        <f aca="false">WC_Schedule!K22</f>
        <v>-108.881281879848</v>
      </c>
    </row>
    <row r="43" customFormat="false" ht="15" hidden="false" customHeight="false" outlineLevel="0" collapsed="false">
      <c r="A43" s="55" t="s">
        <v>772</v>
      </c>
      <c r="B43" s="54"/>
      <c r="G43" s="56" t="n">
        <f aca="false">G39+G40+G41+G42</f>
        <v>400.025393479149</v>
      </c>
      <c r="H43" s="56" t="n">
        <f aca="false">H39+H40+H41+H42</f>
        <v>240.448858191215</v>
      </c>
      <c r="I43" s="56" t="n">
        <f aca="false">I39+I40+I41+I42</f>
        <v>676.313862833342</v>
      </c>
      <c r="J43" s="56" t="n">
        <f aca="false">J39+J40+J41+J42</f>
        <v>290.600322951637</v>
      </c>
      <c r="K43" s="56" t="n">
        <f aca="false">K39+K40+K41+K42</f>
        <v>963.191007209234</v>
      </c>
    </row>
    <row r="44" customFormat="false" ht="15" hidden="false" customHeight="false" outlineLevel="0" collapsed="false">
      <c r="A44" s="53" t="s">
        <v>773</v>
      </c>
      <c r="B44" s="54"/>
      <c r="G44" s="24" t="n">
        <f aca="false">-Income_Statement!G19*(1-Assumptions!G25)</f>
        <v>-70.698648762</v>
      </c>
      <c r="H44" s="24" t="n">
        <f aca="false">-Income_Statement!H19*(1-Assumptions!H25)</f>
        <v>-73.2030376823756</v>
      </c>
      <c r="I44" s="24" t="n">
        <f aca="false">-Income_Statement!I19*(1-Assumptions!I25)</f>
        <v>-75.0117467949756</v>
      </c>
      <c r="J44" s="24" t="n">
        <f aca="false">-Income_Statement!J19*(1-Assumptions!J25)</f>
        <v>-83.299644310646</v>
      </c>
      <c r="K44" s="24" t="n">
        <f aca="false">-Income_Statement!K19*(1-Assumptions!K25)</f>
        <v>-92.6946234044559</v>
      </c>
    </row>
    <row r="45" customFormat="false" ht="15" hidden="false" customHeight="false" outlineLevel="0" collapsed="false">
      <c r="A45" s="53" t="s">
        <v>774</v>
      </c>
      <c r="B45" s="54"/>
      <c r="G45" s="59" t="n">
        <f aca="false">G23+G24</f>
        <v>0.100371019939736</v>
      </c>
      <c r="H45" s="59" t="n">
        <f aca="false">H23+H24</f>
        <v>42.2574654641554</v>
      </c>
      <c r="I45" s="59" t="n">
        <f aca="false">I23+I24</f>
        <v>38.6160465847387</v>
      </c>
      <c r="J45" s="59" t="n">
        <f aca="false">J23+J24</f>
        <v>71.1024032806359</v>
      </c>
      <c r="K45" s="59" t="n">
        <f aca="false">K23+K24</f>
        <v>51.5658897190245</v>
      </c>
    </row>
    <row r="46" customFormat="false" ht="15" hidden="false" customHeight="false" outlineLevel="0" collapsed="false">
      <c r="A46" s="55" t="s">
        <v>775</v>
      </c>
      <c r="B46" s="54"/>
      <c r="G46" s="56" t="n">
        <f aca="false">G43+G44+G45</f>
        <v>329.427115737088</v>
      </c>
      <c r="H46" s="56" t="n">
        <f aca="false">H43+H44+H45</f>
        <v>209.503285972995</v>
      </c>
      <c r="I46" s="56" t="n">
        <f aca="false">I43+I44+I45</f>
        <v>639.918162623105</v>
      </c>
      <c r="J46" s="56" t="n">
        <f aca="false">J43+J44+J45</f>
        <v>278.403081921627</v>
      </c>
      <c r="K46" s="56" t="n">
        <f aca="false">K43+K44+K45</f>
        <v>922.062273523803</v>
      </c>
    </row>
    <row r="47" customFormat="false" ht="15" hidden="false" customHeight="false" outlineLevel="0" collapsed="false">
      <c r="A47" s="51" t="s">
        <v>776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</row>
    <row r="48" customFormat="false" ht="15" hidden="false" customHeight="false" outlineLevel="0" collapsed="false">
      <c r="A48" s="53" t="s">
        <v>777</v>
      </c>
      <c r="B48" s="54"/>
      <c r="G48" s="59" t="n">
        <f aca="false">G16</f>
        <v>-225.17602416</v>
      </c>
      <c r="H48" s="59" t="n">
        <f aca="false">H16</f>
        <v>-258.587353890989</v>
      </c>
      <c r="I48" s="59" t="n">
        <f aca="false">I16</f>
        <v>-355.769999084741</v>
      </c>
      <c r="J48" s="59" t="n">
        <f aca="false">J16</f>
        <v>-323.678617892796</v>
      </c>
      <c r="K48" s="59" t="n">
        <f aca="false">K16</f>
        <v>-360.1848223716</v>
      </c>
    </row>
    <row r="49" customFormat="false" ht="15" hidden="false" customHeight="false" outlineLevel="0" collapsed="false">
      <c r="A49" s="55" t="s">
        <v>778</v>
      </c>
      <c r="B49" s="54"/>
      <c r="G49" s="56" t="n">
        <f aca="false">G39+G40+G48+G42</f>
        <v>380.156920759149</v>
      </c>
      <c r="H49" s="56" t="n">
        <f aca="false">H39+H40+H48+H42</f>
        <v>217.63232696554</v>
      </c>
      <c r="I49" s="56" t="n">
        <f aca="false">I39+I40+I48+I42</f>
        <v>650.595549646493</v>
      </c>
      <c r="J49" s="56" t="n">
        <f aca="false">J39+J40+J48+J42</f>
        <v>262.040444902273</v>
      </c>
      <c r="K49" s="56" t="n">
        <f aca="false">K39+K40+K48+K42</f>
        <v>931.409993470564</v>
      </c>
    </row>
    <row r="50" customFormat="false" ht="15" hidden="false" customHeight="false" outlineLevel="0" collapsed="false">
      <c r="A50" s="58" t="s">
        <v>779</v>
      </c>
      <c r="B50" s="54"/>
      <c r="G50" s="59" t="n">
        <f aca="false">G43-G49</f>
        <v>19.86847272</v>
      </c>
      <c r="H50" s="59" t="n">
        <f aca="false">H43-H49</f>
        <v>22.8165312256756</v>
      </c>
      <c r="I50" s="59" t="n">
        <f aca="false">I43-I49</f>
        <v>25.7183131868488</v>
      </c>
      <c r="J50" s="59" t="n">
        <f aca="false">J43-J49</f>
        <v>28.5598780493643</v>
      </c>
      <c r="K50" s="59" t="n">
        <f aca="false">K43-K49</f>
        <v>31.7810137386705</v>
      </c>
    </row>
    <row r="51" customFormat="false" ht="15" hidden="false" customHeight="false" outlineLevel="0" collapsed="false">
      <c r="A51" s="51" t="s">
        <v>592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</row>
    <row r="52" customFormat="false" ht="15" hidden="false" customHeight="false" outlineLevel="0" collapsed="false">
      <c r="A52" s="53" t="s">
        <v>780</v>
      </c>
      <c r="B52" s="54"/>
      <c r="C52" s="24" t="n">
        <f aca="false">Balance_Sheet!C39</f>
        <v>708</v>
      </c>
      <c r="D52" s="24" t="n">
        <f aca="false">Balance_Sheet!D39</f>
        <v>852</v>
      </c>
      <c r="E52" s="24" t="n">
        <f aca="false">Balance_Sheet!E39</f>
        <v>678</v>
      </c>
      <c r="F52" s="24" t="n">
        <f aca="false">Balance_Sheet!F39</f>
        <v>781</v>
      </c>
      <c r="G52" s="24" t="n">
        <f aca="false">Balance_Sheet!G39</f>
        <v>1098.33749141709</v>
      </c>
      <c r="H52" s="24" t="n">
        <f aca="false">Balance_Sheet!H39</f>
        <v>1300.577824034</v>
      </c>
      <c r="I52" s="24" t="n">
        <f aca="false">Balance_Sheet!I39</f>
        <v>1990.80466065016</v>
      </c>
      <c r="J52" s="24" t="n">
        <f aca="false">Balance_Sheet!J39</f>
        <v>2328.16853424424</v>
      </c>
      <c r="K52" s="24" t="n">
        <f aca="false">Balance_Sheet!K39</f>
        <v>3365.20828764719</v>
      </c>
    </row>
    <row r="53" customFormat="false" ht="15" hidden="false" customHeight="false" outlineLevel="0" collapsed="false">
      <c r="A53" s="58" t="s">
        <v>594</v>
      </c>
      <c r="B53" s="54"/>
      <c r="C53" s="59" t="n">
        <f aca="false">C33-C52</f>
        <v>-15</v>
      </c>
      <c r="D53" s="59" t="n">
        <f aca="false">D33-D52</f>
        <v>-38</v>
      </c>
      <c r="E53" s="59" t="n">
        <f aca="false">E33-E52</f>
        <v>-28</v>
      </c>
      <c r="F53" s="59" t="n">
        <f aca="false">F33-F52</f>
        <v>-40</v>
      </c>
      <c r="G53" s="59" t="n">
        <f aca="false">G33-G52</f>
        <v>0</v>
      </c>
      <c r="H53" s="59" t="n">
        <f aca="false">H33-H52</f>
        <v>0</v>
      </c>
      <c r="I53" s="59" t="n">
        <f aca="false">I33-I52</f>
        <v>0</v>
      </c>
      <c r="J53" s="59" t="n">
        <f aca="false">J33-J52</f>
        <v>0</v>
      </c>
      <c r="K53" s="59" t="n">
        <f aca="false">K33-K52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1" min="3" style="0" width="11.5"/>
  </cols>
  <sheetData>
    <row r="1" customFormat="false" ht="17.35" hidden="false" customHeight="false" outlineLevel="0" collapsed="false">
      <c r="A1" s="17" t="s">
        <v>781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8" t="s">
        <v>483</v>
      </c>
    </row>
    <row r="4" customFormat="false" ht="15" hidden="false" customHeight="false" outlineLevel="0" collapsed="false">
      <c r="C4" s="48" t="s">
        <v>484</v>
      </c>
      <c r="G4" s="48" t="s">
        <v>597</v>
      </c>
    </row>
    <row r="5" customFormat="false" ht="15" hidden="false" customHeight="false" outlineLevel="0" collapsed="false">
      <c r="A5" s="49" t="s">
        <v>485</v>
      </c>
      <c r="B5" s="49" t="s">
        <v>486</v>
      </c>
      <c r="C5" s="50" t="s">
        <v>487</v>
      </c>
      <c r="D5" s="50" t="s">
        <v>488</v>
      </c>
      <c r="E5" s="50" t="s">
        <v>489</v>
      </c>
      <c r="F5" s="50" t="s">
        <v>490</v>
      </c>
      <c r="G5" s="60" t="s">
        <v>598</v>
      </c>
      <c r="H5" s="60" t="s">
        <v>599</v>
      </c>
      <c r="I5" s="60" t="s">
        <v>600</v>
      </c>
      <c r="J5" s="60" t="s">
        <v>601</v>
      </c>
      <c r="K5" s="60" t="s">
        <v>602</v>
      </c>
    </row>
    <row r="6" customFormat="false" ht="15" hidden="false" customHeight="false" outlineLevel="0" collapsed="false">
      <c r="A6" s="51" t="s">
        <v>782</v>
      </c>
      <c r="B6" s="52"/>
      <c r="C6" s="52"/>
      <c r="D6" s="52"/>
      <c r="E6" s="52"/>
      <c r="F6" s="52"/>
      <c r="G6" s="52"/>
      <c r="H6" s="52"/>
      <c r="I6" s="52"/>
      <c r="J6" s="52"/>
      <c r="K6" s="52"/>
    </row>
    <row r="7" customFormat="false" ht="15" hidden="false" customHeight="false" outlineLevel="0" collapsed="false">
      <c r="A7" s="53" t="s">
        <v>783</v>
      </c>
      <c r="B7" s="54"/>
      <c r="C7" s="30" t="n">
        <f aca="false">(Income_Statement!C6-Income_Statement!C9)/Income_Statement!C6</f>
        <v>0.223286661753869</v>
      </c>
      <c r="D7" s="30" t="n">
        <f aca="false">(Income_Statement!D6-Income_Statement!D9)/Income_Statement!D6</f>
        <v>0.213684800897364</v>
      </c>
      <c r="E7" s="30" t="n">
        <f aca="false">(Income_Statement!E6-Income_Statement!E9)/Income_Statement!E6</f>
        <v>0.224031661584377</v>
      </c>
      <c r="F7" s="30" t="n">
        <f aca="false">(Income_Statement!F6-Income_Statement!F9)/Income_Statement!F6</f>
        <v>0.222955422955423</v>
      </c>
      <c r="G7" s="30" t="n">
        <f aca="false">(Income_Statement!G6-Income_Statement!G9)/Income_Statement!G6</f>
        <v>0.223</v>
      </c>
      <c r="H7" s="30" t="n">
        <f aca="false">(Income_Statement!H6-Income_Statement!H9)/Income_Statement!H6</f>
        <v>0.224</v>
      </c>
      <c r="I7" s="30" t="n">
        <f aca="false">(Income_Statement!I6-Income_Statement!I9)/Income_Statement!I6</f>
        <v>0.225</v>
      </c>
      <c r="J7" s="30" t="n">
        <f aca="false">(Income_Statement!J6-Income_Statement!J9)/Income_Statement!J6</f>
        <v>0.225</v>
      </c>
      <c r="K7" s="30" t="n">
        <f aca="false">(Income_Statement!K6-Income_Statement!K9)/Income_Statement!K6</f>
        <v>0.226</v>
      </c>
    </row>
    <row r="8" customFormat="false" ht="15" hidden="false" customHeight="false" outlineLevel="0" collapsed="false">
      <c r="A8" s="53" t="s">
        <v>508</v>
      </c>
      <c r="B8" s="54"/>
      <c r="C8" s="30" t="n">
        <f aca="false">Income_Statement!C14/Income_Statement!C6</f>
        <v>0.0603221391725445</v>
      </c>
      <c r="D8" s="30" t="n">
        <f aca="false">Income_Statement!D14/Income_Statement!D6</f>
        <v>0.0379777261437385</v>
      </c>
      <c r="E8" s="30" t="n">
        <f aca="false">Income_Statement!E14/Income_Statement!E6</f>
        <v>0.0724712904690845</v>
      </c>
      <c r="F8" s="30" t="n">
        <f aca="false">Income_Statement!F14/Income_Statement!F6</f>
        <v>0.0454896454896455</v>
      </c>
      <c r="G8" s="30" t="n">
        <f aca="false">Income_Statement!G14/Income_Statement!G6</f>
        <v>0.063</v>
      </c>
      <c r="H8" s="30" t="n">
        <f aca="false">Income_Statement!H14/Income_Statement!H6</f>
        <v>0.069</v>
      </c>
      <c r="I8" s="30" t="n">
        <f aca="false">Income_Statement!I14/Income_Statement!I6</f>
        <v>0.072</v>
      </c>
      <c r="J8" s="30" t="n">
        <f aca="false">Income_Statement!J14/Income_Statement!J6</f>
        <v>0.0719999999999999</v>
      </c>
      <c r="K8" s="30" t="n">
        <f aca="false">Income_Statement!K14/Income_Statement!K6</f>
        <v>0.0729999999999999</v>
      </c>
    </row>
    <row r="9" customFormat="false" ht="15" hidden="false" customHeight="false" outlineLevel="0" collapsed="false">
      <c r="A9" s="53" t="s">
        <v>528</v>
      </c>
      <c r="B9" s="54"/>
      <c r="C9" s="30" t="n">
        <f aca="false">Income_Statement!C17/Income_Statement!C6</f>
        <v>0.0561111695967997</v>
      </c>
      <c r="D9" s="30" t="n">
        <f aca="false">Income_Statement!D17/Income_Statement!D6</f>
        <v>0.0341318804582966</v>
      </c>
      <c r="E9" s="30" t="n">
        <f aca="false">Income_Statement!E17/Income_Statement!E6</f>
        <v>0.0684487121261273</v>
      </c>
      <c r="F9" s="30" t="n">
        <f aca="false">Income_Statement!F17/Income_Statement!F6</f>
        <v>0.0395928395928396</v>
      </c>
      <c r="G9" s="30" t="n">
        <f aca="false">Income_Statement!G17/Income_Statement!G6</f>
        <v>0.0573949655985357</v>
      </c>
      <c r="H9" s="30" t="n">
        <f aca="false">Income_Statement!H17/Income_Statement!H6</f>
        <v>0.0634425526278852</v>
      </c>
      <c r="I9" s="30" t="n">
        <f aca="false">Income_Statement!I17/Income_Statement!I6</f>
        <v>0.0662566090923382</v>
      </c>
      <c r="J9" s="30" t="n">
        <f aca="false">Income_Statement!J17/Income_Statement!J6</f>
        <v>0.066151424353047</v>
      </c>
      <c r="K9" s="30" t="n">
        <f aca="false">Income_Statement!K17/Income_Statement!K6</f>
        <v>0.0670675780320241</v>
      </c>
    </row>
    <row r="10" customFormat="false" ht="15" hidden="false" customHeight="false" outlineLevel="0" collapsed="false">
      <c r="A10" s="53" t="s">
        <v>784</v>
      </c>
      <c r="B10" s="54"/>
      <c r="C10" s="30" t="n">
        <f aca="false">Income_Statement!C25/Income_Statement!C6</f>
        <v>0.0142120223181388</v>
      </c>
      <c r="D10" s="30" t="n">
        <f aca="false">Income_Statement!D25/Income_Statement!D6</f>
        <v>0.0197099591378896</v>
      </c>
      <c r="E10" s="30" t="n">
        <f aca="false">Income_Statement!E25/Income_Statement!E6</f>
        <v>0.0541750470382145</v>
      </c>
      <c r="F10" s="30" t="n">
        <f aca="false">Income_Statement!F25/Income_Statement!F6</f>
        <v>0.026044226044226</v>
      </c>
      <c r="G10" s="30" t="n">
        <f aca="false">Income_Statement!G25/Income_Statement!G6</f>
        <v>0.0443680532354221</v>
      </c>
      <c r="H10" s="30" t="n">
        <f aca="false">Income_Statement!H25/Income_Statement!H6</f>
        <v>0.0483369678530748</v>
      </c>
      <c r="I10" s="30" t="n">
        <f aca="false">Income_Statement!I25/Income_Statement!I6</f>
        <v>0.0526009631723606</v>
      </c>
      <c r="J10" s="30" t="n">
        <f aca="false">Income_Statement!J25/Income_Statement!J6</f>
        <v>0.0520430394186094</v>
      </c>
      <c r="K10" s="30" t="n">
        <f aca="false">Income_Statement!K25/Income_Statement!K6</f>
        <v>0.0539848600036001</v>
      </c>
    </row>
    <row r="11" customFormat="false" ht="15" hidden="false" customHeight="false" outlineLevel="0" collapsed="false">
      <c r="A11" s="53" t="s">
        <v>785</v>
      </c>
      <c r="B11" s="54"/>
      <c r="C11" s="30" t="n">
        <f aca="false">Income_Statement!C27/Balance_Sheet!C10</f>
        <v>0.0245722606479796</v>
      </c>
      <c r="D11" s="30" t="n">
        <f aca="false">Income_Statement!D27/AVERAGE(Balance_Sheet!C10,Balance_Sheet!D10)</f>
        <v>0.0433556573845612</v>
      </c>
      <c r="E11" s="30" t="n">
        <f aca="false">Income_Statement!E27/AVERAGE(Balance_Sheet!D10,Balance_Sheet!E10)</f>
        <v>0.134742617395514</v>
      </c>
      <c r="F11" s="30" t="n">
        <f aca="false">Income_Statement!F27/AVERAGE(Balance_Sheet!E10,Balance_Sheet!F10)</f>
        <v>0.0573460081922869</v>
      </c>
      <c r="G11" s="30" t="n">
        <f aca="false">Income_Statement!G27/AVERAGE(Balance_Sheet!F10,Balance_Sheet!G10)</f>
        <v>0.109640141385722</v>
      </c>
      <c r="H11" s="30" t="n">
        <f aca="false">Income_Statement!H27/AVERAGE(Balance_Sheet!G10,Balance_Sheet!H10)</f>
        <v>0.124288127323196</v>
      </c>
      <c r="I11" s="30" t="n">
        <f aca="false">Income_Statement!I27/AVERAGE(Balance_Sheet!H10,Balance_Sheet!I10)</f>
        <v>0.13606109562239</v>
      </c>
      <c r="J11" s="30" t="n">
        <f aca="false">Income_Statement!J27/AVERAGE(Balance_Sheet!I10,Balance_Sheet!J10)</f>
        <v>0.132668401747689</v>
      </c>
      <c r="K11" s="30" t="n">
        <f aca="false">Income_Statement!K27/AVERAGE(Balance_Sheet!J10,Balance_Sheet!K10)</f>
        <v>0.135674315104618</v>
      </c>
    </row>
    <row r="12" customFormat="false" ht="15" hidden="false" customHeight="false" outlineLevel="0" collapsed="false">
      <c r="A12" s="53" t="s">
        <v>786</v>
      </c>
      <c r="B12" s="54"/>
      <c r="C12" s="30" t="n">
        <f aca="false">Income_Statement!C17/(Balance_Sheet!C10+Debt_Schedule!C23)</f>
        <v>0.086878565607172</v>
      </c>
      <c r="D12" s="30" t="n">
        <f aca="false">Income_Statement!D17/(Balance_Sheet!D10+Debt_Schedule!D23)</f>
        <v>0.0646630236794171</v>
      </c>
      <c r="E12" s="30" t="n">
        <f aca="false">Income_Statement!E17/(Balance_Sheet!E10+Debt_Schedule!E23)</f>
        <v>0.142144974400431</v>
      </c>
      <c r="F12" s="30" t="n">
        <f aca="false">Income_Statement!F17/(Balance_Sheet!F10+Debt_Schedule!F23)</f>
        <v>0.0764124102425146</v>
      </c>
      <c r="G12" s="30" t="n">
        <f aca="false">Income_Statement!G17/(Balance_Sheet!G10+Debt_Schedule!G23)</f>
        <v>0.11903370981265</v>
      </c>
      <c r="H12" s="30" t="n">
        <f aca="false">Income_Statement!H17/(Balance_Sheet!H10+Debt_Schedule!H23)</f>
        <v>0.136884817302541</v>
      </c>
      <c r="I12" s="30" t="n">
        <f aca="false">Income_Statement!I17/(Balance_Sheet!I10+Debt_Schedule!I23)</f>
        <v>0.144221307669722</v>
      </c>
      <c r="J12" s="30" t="n">
        <f aca="false">Income_Statement!J17/(Balance_Sheet!J10+Debt_Schedule!J23)</f>
        <v>0.142822826842386</v>
      </c>
      <c r="K12" s="30" t="n">
        <f aca="false">Income_Statement!K17/(Balance_Sheet!K10+Debt_Schedule!K23)</f>
        <v>0.143563657207231</v>
      </c>
    </row>
    <row r="13" customFormat="false" ht="15" hidden="false" customHeight="false" outlineLevel="0" collapsed="false">
      <c r="A13" s="53" t="s">
        <v>787</v>
      </c>
      <c r="B13" s="54"/>
      <c r="C13" s="30" t="n">
        <f aca="false">Income_Statement!C25/Balance_Sheet!C41</f>
        <v>0.0131335733047962</v>
      </c>
      <c r="D13" s="30" t="n">
        <f aca="false">Income_Statement!D25/Balance_Sheet!D41</f>
        <v>0.0204386839481555</v>
      </c>
      <c r="E13" s="30" t="n">
        <f aca="false">Income_Statement!E25/Balance_Sheet!E41</f>
        <v>0.0634884428223844</v>
      </c>
      <c r="F13" s="30" t="n">
        <f aca="false">Income_Statement!F25/Balance_Sheet!F41</f>
        <v>0.0255685733976568</v>
      </c>
      <c r="G13" s="30" t="n">
        <f aca="false">Income_Statement!G25/Balance_Sheet!G41</f>
        <v>0.0472604596751594</v>
      </c>
      <c r="H13" s="30" t="n">
        <f aca="false">Income_Statement!H25/Balance_Sheet!H41</f>
        <v>0.0532548237401175</v>
      </c>
      <c r="I13" s="30" t="n">
        <f aca="false">Income_Statement!I25/Balance_Sheet!I41</f>
        <v>0.05830816295688</v>
      </c>
      <c r="J13" s="30" t="n">
        <f aca="false">Income_Statement!J25/Balance_Sheet!J41</f>
        <v>0.057909862828642</v>
      </c>
      <c r="K13" s="30" t="n">
        <f aca="false">Income_Statement!K25/Balance_Sheet!K41</f>
        <v>0.0598822353070713</v>
      </c>
    </row>
    <row r="14" customFormat="false" ht="15" hidden="false" customHeight="false" outlineLevel="0" collapsed="false">
      <c r="A14" s="51" t="s">
        <v>788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</row>
    <row r="15" customFormat="false" ht="15" hidden="false" customHeight="false" outlineLevel="0" collapsed="false">
      <c r="A15" s="53" t="s">
        <v>789</v>
      </c>
      <c r="B15" s="54"/>
      <c r="C15" s="76" t="n">
        <f aca="false">Balance_Sheet!C40/Balance_Sheet!C22</f>
        <v>1.3952380952381</v>
      </c>
      <c r="D15" s="76" t="n">
        <f aca="false">Balance_Sheet!D40/Balance_Sheet!D22</f>
        <v>1.34190410006949</v>
      </c>
      <c r="E15" s="76" t="n">
        <f aca="false">Balance_Sheet!E40/Balance_Sheet!E22</f>
        <v>1.47818847818848</v>
      </c>
      <c r="F15" s="76" t="n">
        <f aca="false">Balance_Sheet!F40/Balance_Sheet!F22</f>
        <v>1.36735504368546</v>
      </c>
      <c r="G15" s="76" t="n">
        <f aca="false">Balance_Sheet!G40/Balance_Sheet!G22</f>
        <v>1.39648926152042</v>
      </c>
      <c r="H15" s="76" t="n">
        <f aca="false">Balance_Sheet!H40/Balance_Sheet!H22</f>
        <v>1.41857592139008</v>
      </c>
      <c r="I15" s="76" t="n">
        <f aca="false">Balance_Sheet!I40/Balance_Sheet!I22</f>
        <v>1.44342649121079</v>
      </c>
      <c r="J15" s="76" t="n">
        <f aca="false">Balance_Sheet!J40/Balance_Sheet!J22</f>
        <v>1.48400622197477</v>
      </c>
      <c r="K15" s="76" t="n">
        <f aca="false">Balance_Sheet!K40/Balance_Sheet!K22</f>
        <v>1.52247906951377</v>
      </c>
    </row>
    <row r="16" customFormat="false" ht="15" hidden="false" customHeight="false" outlineLevel="0" collapsed="false">
      <c r="A16" s="53" t="s">
        <v>790</v>
      </c>
      <c r="B16" s="54"/>
      <c r="C16" s="76" t="n">
        <f aca="false">(Balance_Sheet!C40-Balance_Sheet!C35)/Balance_Sheet!C22</f>
        <v>1.05064935064935</v>
      </c>
      <c r="D16" s="76" t="n">
        <f aca="false">(Balance_Sheet!D40-Balance_Sheet!D35)/Balance_Sheet!D22</f>
        <v>0.970986796386379</v>
      </c>
      <c r="E16" s="76" t="n">
        <f aca="false">(Balance_Sheet!E40-Balance_Sheet!E35)/Balance_Sheet!E22</f>
        <v>1.02614052614053</v>
      </c>
      <c r="F16" s="76" t="n">
        <f aca="false">(Balance_Sheet!F40-Balance_Sheet!F35)/Balance_Sheet!F22</f>
        <v>0.91289383108287</v>
      </c>
      <c r="G16" s="76" t="n">
        <f aca="false">(Balance_Sheet!G40-Balance_Sheet!G35)/Balance_Sheet!G22</f>
        <v>0.949440374924352</v>
      </c>
      <c r="H16" s="76" t="n">
        <f aca="false">(Balance_Sheet!H40-Balance_Sheet!H35)/Balance_Sheet!H22</f>
        <v>0.98373016435543</v>
      </c>
      <c r="I16" s="76" t="n">
        <f aca="false">(Balance_Sheet!I40-Balance_Sheet!I35)/Balance_Sheet!I22</f>
        <v>1.01705353547809</v>
      </c>
      <c r="J16" s="76" t="n">
        <f aca="false">(Balance_Sheet!J40-Balance_Sheet!J35)/Balance_Sheet!J22</f>
        <v>1.04328058976448</v>
      </c>
      <c r="K16" s="76" t="n">
        <f aca="false">(Balance_Sheet!K40-Balance_Sheet!K35)/Balance_Sheet!K22</f>
        <v>1.09471876368849</v>
      </c>
    </row>
    <row r="17" customFormat="false" ht="15" hidden="false" customHeight="false" outlineLevel="0" collapsed="false">
      <c r="A17" s="53" t="s">
        <v>791</v>
      </c>
      <c r="B17" s="54"/>
      <c r="C17" s="76" t="n">
        <f aca="false">Balance_Sheet!C39/Balance_Sheet!C22</f>
        <v>0.153246753246753</v>
      </c>
      <c r="D17" s="76" t="n">
        <f aca="false">Balance_Sheet!D39/Balance_Sheet!D22</f>
        <v>0.148019457956915</v>
      </c>
      <c r="E17" s="76" t="n">
        <f aca="false">Balance_Sheet!E39/Balance_Sheet!E22</f>
        <v>0.112887112887113</v>
      </c>
      <c r="F17" s="76" t="n">
        <f aca="false">Balance_Sheet!F39/Balance_Sheet!F22</f>
        <v>0.103388933015621</v>
      </c>
      <c r="G17" s="76" t="n">
        <f aca="false">Balance_Sheet!G39/Balance_Sheet!G22</f>
        <v>0.136577532279737</v>
      </c>
      <c r="H17" s="76" t="n">
        <f aca="false">Balance_Sheet!H39/Balance_Sheet!H22</f>
        <v>0.144232329117663</v>
      </c>
      <c r="I17" s="76" t="n">
        <f aca="false">Balance_Sheet!I39/Balance_Sheet!I22</f>
        <v>0.196347158672888</v>
      </c>
      <c r="J17" s="76" t="n">
        <f aca="false">Balance_Sheet!J39/Balance_Sheet!J22</f>
        <v>0.209327867826928</v>
      </c>
      <c r="K17" s="76" t="n">
        <f aca="false">Balance_Sheet!K39/Balance_Sheet!K22</f>
        <v>0.272677925675443</v>
      </c>
    </row>
    <row r="18" customFormat="false" ht="15" hidden="false" customHeight="false" outlineLevel="0" collapsed="false">
      <c r="A18" s="51" t="s">
        <v>792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</row>
    <row r="19" customFormat="false" ht="15" hidden="false" customHeight="false" outlineLevel="0" collapsed="false">
      <c r="A19" s="53" t="s">
        <v>793</v>
      </c>
      <c r="B19" s="54"/>
      <c r="C19" s="76" t="n">
        <f aca="false">Income_Statement!C6/Balance_Sheet!C41</f>
        <v>0.924117132016733</v>
      </c>
      <c r="D19" s="76" t="n">
        <f aca="false">Income_Statement!D6/Balance_Sheet!D41</f>
        <v>1.03697241608508</v>
      </c>
      <c r="E19" s="76" t="n">
        <f aca="false">Income_Statement!E6/Balance_Sheet!E41</f>
        <v>1.17191301703163</v>
      </c>
      <c r="F19" s="76" t="n">
        <f aca="false">Income_Statement!F6/Balance_Sheet!F41</f>
        <v>0.981736733287388</v>
      </c>
      <c r="G19" s="76" t="n">
        <f aca="false">Income_Statement!G6/Balance_Sheet!G41</f>
        <v>1.06519119566482</v>
      </c>
      <c r="H19" s="76" t="n">
        <f aca="false">Income_Statement!H6/Balance_Sheet!H41</f>
        <v>1.10174109186971</v>
      </c>
      <c r="I19" s="76" t="n">
        <f aca="false">Income_Statement!I6/Balance_Sheet!I41</f>
        <v>1.10849991027385</v>
      </c>
      <c r="J19" s="76" t="n">
        <f aca="false">Income_Statement!J6/Balance_Sheet!J41</f>
        <v>1.11273022243845</v>
      </c>
      <c r="K19" s="76" t="n">
        <f aca="false">Income_Statement!K6/Balance_Sheet!K41</f>
        <v>1.10924128177933</v>
      </c>
    </row>
    <row r="20" customFormat="false" ht="15" hidden="false" customHeight="false" outlineLevel="0" collapsed="false">
      <c r="A20" s="53" t="s">
        <v>794</v>
      </c>
      <c r="B20" s="54"/>
      <c r="C20" s="76" t="n">
        <f aca="false">Income_Statement!C9/Balance_Sheet!C35</f>
        <v>4.63442211055276</v>
      </c>
      <c r="D20" s="76" t="n">
        <f aca="false">Income_Statement!D9/Balance_Sheet!D35</f>
        <v>4.59672131147541</v>
      </c>
      <c r="E20" s="76" t="n">
        <f aca="false">Income_Statement!E9/Balance_Sheet!E35</f>
        <v>4.40515653775322</v>
      </c>
      <c r="F20" s="76" t="n">
        <f aca="false">Income_Statement!F9/Balance_Sheet!F35</f>
        <v>3.22429362073988</v>
      </c>
      <c r="G20" s="76" t="n">
        <f aca="false">Income_Statement!G9/Balance_Sheet!G35</f>
        <v>3.57843137254902</v>
      </c>
      <c r="H20" s="76" t="n">
        <f aca="false">Income_Statement!H9/Balance_Sheet!H35</f>
        <v>3.76288659793814</v>
      </c>
      <c r="I20" s="76" t="n">
        <f aca="false">Income_Statement!I9/Balance_Sheet!I35</f>
        <v>3.84210526315789</v>
      </c>
      <c r="J20" s="76" t="n">
        <f aca="false">Income_Statement!J9/Balance_Sheet!J35</f>
        <v>3.76288659793814</v>
      </c>
      <c r="K20" s="76" t="n">
        <f aca="false">Income_Statement!K9/Balance_Sheet!K35</f>
        <v>3.88297872340426</v>
      </c>
    </row>
    <row r="21" customFormat="false" ht="15" hidden="false" customHeight="false" outlineLevel="0" collapsed="false">
      <c r="A21" s="53" t="s">
        <v>795</v>
      </c>
      <c r="B21" s="54"/>
      <c r="C21" s="70" t="n">
        <f aca="false">WC_Schedule!C9</f>
        <v>84.2278134540478</v>
      </c>
      <c r="D21" s="70" t="n">
        <f aca="false">WC_Schedule!D9</f>
        <v>74.0761958176428</v>
      </c>
      <c r="E21" s="70" t="n">
        <f aca="false">WC_Schedule!E9</f>
        <v>59.4637643547655</v>
      </c>
      <c r="F21" s="70" t="n">
        <f aca="false">WC_Schedule!F9</f>
        <v>77.7658827658828</v>
      </c>
      <c r="G21" s="70" t="n">
        <f aca="false">WC_Schedule!G9</f>
        <v>71</v>
      </c>
      <c r="H21" s="70" t="n">
        <f aca="false">WC_Schedule!H9</f>
        <v>77</v>
      </c>
      <c r="I21" s="70" t="n">
        <f aca="false">WC_Schedule!I9</f>
        <v>76</v>
      </c>
      <c r="J21" s="70" t="n">
        <f aca="false">WC_Schedule!J9</f>
        <v>77</v>
      </c>
      <c r="K21" s="70" t="n">
        <f aca="false">WC_Schedule!K9</f>
        <v>76</v>
      </c>
    </row>
    <row r="22" customFormat="false" ht="15" hidden="false" customHeight="false" outlineLevel="0" collapsed="false">
      <c r="A22" s="53" t="s">
        <v>796</v>
      </c>
      <c r="B22" s="54"/>
      <c r="C22" s="70" t="n">
        <f aca="false">WC_Schedule!C11</f>
        <v>149.057332610464</v>
      </c>
      <c r="D22" s="70" t="n">
        <f aca="false">WC_Schedule!D11</f>
        <v>143.411453026289</v>
      </c>
      <c r="E22" s="70" t="n">
        <f aca="false">WC_Schedule!E11</f>
        <v>118.808110367893</v>
      </c>
      <c r="F22" s="70" t="n">
        <f aca="false">WC_Schedule!F11</f>
        <v>172.393170114735</v>
      </c>
      <c r="G22" s="70" t="n">
        <f aca="false">WC_Schedule!G11</f>
        <v>158</v>
      </c>
      <c r="H22" s="70" t="n">
        <f aca="false">WC_Schedule!H11</f>
        <v>153</v>
      </c>
      <c r="I22" s="70" t="n">
        <f aca="false">WC_Schedule!I11</f>
        <v>153</v>
      </c>
      <c r="J22" s="70" t="n">
        <f aca="false">WC_Schedule!J11</f>
        <v>150</v>
      </c>
      <c r="K22" s="70" t="n">
        <f aca="false">WC_Schedule!K11</f>
        <v>150</v>
      </c>
    </row>
    <row r="23" customFormat="false" ht="15" hidden="false" customHeight="false" outlineLevel="0" collapsed="false">
      <c r="A23" s="53" t="s">
        <v>797</v>
      </c>
      <c r="B23" s="54"/>
      <c r="C23" s="70" t="n">
        <f aca="false">WC_Schedule!C9+WC_Schedule!C10-WC_Schedule!C11</f>
        <v>13.9289519739719</v>
      </c>
      <c r="D23" s="70" t="n">
        <f aca="false">WC_Schedule!D9+WC_Schedule!D10-WC_Schedule!D11</f>
        <v>10.0691650452768</v>
      </c>
      <c r="E23" s="70" t="n">
        <f aca="false">WC_Schedule!E9+WC_Schedule!E10-WC_Schedule!E11</f>
        <v>23.5130954584444</v>
      </c>
      <c r="F23" s="70" t="n">
        <f aca="false">WC_Schedule!F9+WC_Schedule!F10-WC_Schedule!F11</f>
        <v>18.5758023611488</v>
      </c>
      <c r="G23" s="70" t="n">
        <f aca="false">WC_Schedule!G9+WC_Schedule!G10-WC_Schedule!G11</f>
        <v>15</v>
      </c>
      <c r="H23" s="70" t="n">
        <f aca="false">WC_Schedule!H9+WC_Schedule!H10-WC_Schedule!H11</f>
        <v>21</v>
      </c>
      <c r="I23" s="70" t="n">
        <f aca="false">WC_Schedule!I9+WC_Schedule!I10-WC_Schedule!I11</f>
        <v>18</v>
      </c>
      <c r="J23" s="70" t="n">
        <f aca="false">WC_Schedule!J9+WC_Schedule!J10-WC_Schedule!J11</f>
        <v>24</v>
      </c>
      <c r="K23" s="70" t="n">
        <f aca="false">WC_Schedule!K9+WC_Schedule!K10-WC_Schedule!K11</f>
        <v>20</v>
      </c>
    </row>
    <row r="24" customFormat="false" ht="15" hidden="false" customHeight="false" outlineLevel="0" collapsed="false">
      <c r="A24" s="51" t="s">
        <v>798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</row>
    <row r="25" customFormat="false" ht="15" hidden="false" customHeight="false" outlineLevel="0" collapsed="false">
      <c r="A25" s="53" t="s">
        <v>799</v>
      </c>
      <c r="B25" s="54"/>
      <c r="C25" s="76" t="n">
        <f aca="false">Debt_Schedule!C23/Balance_Sheet!C10</f>
        <v>0.116672733891518</v>
      </c>
      <c r="D25" s="76" t="n">
        <f aca="false">Debt_Schedule!D23/Balance_Sheet!D10</f>
        <v>0.125384352579433</v>
      </c>
      <c r="E25" s="76" t="n">
        <f aca="false">Debt_Schedule!E23/Balance_Sheet!E10</f>
        <v>0.134862385321101</v>
      </c>
      <c r="F25" s="76" t="n">
        <f aca="false">Debt_Schedule!F23/Balance_Sheet!F10</f>
        <v>0.153461478355993</v>
      </c>
      <c r="G25" s="76" t="n">
        <f aca="false">Debt_Schedule!G23/Balance_Sheet!G10</f>
        <v>0.140274311742378</v>
      </c>
      <c r="H25" s="76" t="n">
        <f aca="false">Debt_Schedule!H23/Balance_Sheet!H10</f>
        <v>0.131529727636374</v>
      </c>
      <c r="I25" s="76" t="n">
        <f aca="false">Debt_Schedule!I23/Balance_Sheet!I10</f>
        <v>0.121025559057508</v>
      </c>
      <c r="J25" s="76" t="n">
        <f aca="false">Debt_Schedule!J23/Balance_Sheet!J10</f>
        <v>0.1146765021938</v>
      </c>
      <c r="K25" s="76" t="n">
        <f aca="false">Debt_Schedule!K23/Balance_Sheet!K10</f>
        <v>0.105986042504144</v>
      </c>
    </row>
    <row r="26" customFormat="false" ht="15" hidden="false" customHeight="false" outlineLevel="0" collapsed="false">
      <c r="A26" s="53" t="s">
        <v>800</v>
      </c>
      <c r="B26" s="54"/>
      <c r="C26" s="76" t="n">
        <f aca="false">Income_Statement!C17/Income_Statement!C19</f>
        <v>17.7666666666667</v>
      </c>
      <c r="D26" s="76" t="n">
        <f aca="false">Income_Statement!D17/Income_Statement!D19</f>
        <v>7.60714285714286</v>
      </c>
      <c r="E26" s="76" t="n">
        <f aca="false">Income_Statement!E17/Income_Statement!E19</f>
        <v>17.0161290322581</v>
      </c>
      <c r="F26" s="76" t="n">
        <f aca="false">Income_Statement!F17/Income_Statement!F19</f>
        <v>6.48275862068966</v>
      </c>
      <c r="G26" s="76" t="n">
        <f aca="false">Income_Statement!G17/Income_Statement!G19</f>
        <v>9.4090107538583</v>
      </c>
      <c r="H26" s="76" t="n">
        <f aca="false">Income_Statement!H17/Income_Statement!H19</f>
        <v>11.5350095687064</v>
      </c>
      <c r="I26" s="76" t="n">
        <f aca="false">Income_Statement!I17/Income_Statement!I19</f>
        <v>13.2513218184676</v>
      </c>
      <c r="J26" s="76" t="n">
        <f aca="false">Income_Statement!J17/Income_Statement!J19</f>
        <v>13.2302848706094</v>
      </c>
      <c r="K26" s="76" t="n">
        <f aca="false">Income_Statement!K17/Income_Statement!K19</f>
        <v>13.4135156064048</v>
      </c>
    </row>
    <row r="27" customFormat="false" ht="15" hidden="false" customHeight="false" outlineLevel="0" collapsed="false">
      <c r="A27" s="53" t="s">
        <v>801</v>
      </c>
      <c r="B27" s="54"/>
      <c r="C27" s="76" t="n">
        <f aca="false">(Debt_Schedule!C26-Balance_Sheet!C39)/Income_Statement!C14</f>
        <v>-0.160558464223386</v>
      </c>
      <c r="D27" s="76" t="n">
        <f aca="false">(Debt_Schedule!D26-Balance_Sheet!D39)/Income_Statement!D14</f>
        <v>-0.293248945147679</v>
      </c>
      <c r="E27" s="76" t="n">
        <f aca="false">(Debt_Schedule!E26-Balance_Sheet!E39)/Income_Statement!E14</f>
        <v>0.166517457475381</v>
      </c>
      <c r="F27" s="76" t="n">
        <f aca="false">(Debt_Schedule!F26-Balance_Sheet!F39)/Income_Statement!F14</f>
        <v>0.287037037037037</v>
      </c>
      <c r="G27" s="76" t="n">
        <f aca="false">(Debt_Schedule!G26-Balance_Sheet!G39)/Income_Statement!G14</f>
        <v>-0.125815139868053</v>
      </c>
      <c r="H27" s="76" t="n">
        <f aca="false">(Debt_Schedule!H26-Balance_Sheet!H39)/Income_Statement!H14</f>
        <v>-0.221974821043403</v>
      </c>
      <c r="I27" s="76" t="n">
        <f aca="false">(Debt_Schedule!I26-Balance_Sheet!I39)/Income_Statement!I14</f>
        <v>-0.610998325545606</v>
      </c>
      <c r="J27" s="76" t="n">
        <f aca="false">(Debt_Schedule!J26-Balance_Sheet!J39)/Income_Statement!J14</f>
        <v>-0.705589058541563</v>
      </c>
      <c r="K27" s="76" t="n">
        <f aca="false">(Debt_Schedule!K26-Balance_Sheet!K39)/Income_Statement!K14</f>
        <v>-1.13511355128743</v>
      </c>
    </row>
    <row r="28" customFormat="false" ht="15" hidden="false" customHeight="false" outlineLevel="0" collapsed="false">
      <c r="A28" s="51" t="s">
        <v>802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</row>
    <row r="29" customFormat="false" ht="15" hidden="false" customHeight="false" outlineLevel="0" collapsed="false">
      <c r="A29" s="53" t="s">
        <v>803</v>
      </c>
      <c r="B29" s="54"/>
      <c r="C29" s="27" t="n">
        <v>818</v>
      </c>
      <c r="D29" s="27" t="n">
        <v>1103</v>
      </c>
      <c r="E29" s="27" t="n">
        <v>1458</v>
      </c>
      <c r="F29" s="27" t="n">
        <v>1272</v>
      </c>
      <c r="G29" s="28" t="n">
        <f aca="false">Assumptions!$C$8</f>
        <v>1033</v>
      </c>
      <c r="H29" s="28" t="n">
        <f aca="false">Assumptions!$C$8</f>
        <v>1033</v>
      </c>
      <c r="I29" s="28" t="n">
        <f aca="false">Assumptions!$C$8</f>
        <v>1033</v>
      </c>
      <c r="J29" s="28" t="n">
        <f aca="false">Assumptions!$C$8</f>
        <v>1033</v>
      </c>
      <c r="K29" s="28" t="n">
        <f aca="false">Assumptions!$C$8</f>
        <v>1033</v>
      </c>
    </row>
    <row r="30" customFormat="false" ht="15" hidden="false" customHeight="false" outlineLevel="0" collapsed="false">
      <c r="A30" s="53" t="s">
        <v>804</v>
      </c>
      <c r="B30" s="54"/>
      <c r="C30" s="24" t="n">
        <f aca="false">C29*Assumptions!$C$9</f>
        <v>27059.44</v>
      </c>
      <c r="D30" s="24" t="n">
        <f aca="false">D29*Assumptions!$C$9</f>
        <v>36487.24</v>
      </c>
      <c r="E30" s="24" t="n">
        <f aca="false">E29*Assumptions!$C$9</f>
        <v>48230.64</v>
      </c>
      <c r="F30" s="24" t="n">
        <f aca="false">F29*Assumptions!$C$9</f>
        <v>42077.76</v>
      </c>
      <c r="G30" s="24" t="n">
        <f aca="false">G29*Assumptions!$C$9</f>
        <v>34171.64</v>
      </c>
      <c r="H30" s="24" t="n">
        <f aca="false">H29*Assumptions!$C$9</f>
        <v>34171.64</v>
      </c>
      <c r="I30" s="24" t="n">
        <f aca="false">I29*Assumptions!$C$9</f>
        <v>34171.64</v>
      </c>
      <c r="J30" s="24" t="n">
        <f aca="false">J29*Assumptions!$C$9</f>
        <v>34171.64</v>
      </c>
      <c r="K30" s="24" t="n">
        <f aca="false">K29*Assumptions!$C$9</f>
        <v>34171.64</v>
      </c>
    </row>
    <row r="31" customFormat="false" ht="15" hidden="false" customHeight="false" outlineLevel="0" collapsed="false">
      <c r="A31" s="53" t="s">
        <v>805</v>
      </c>
      <c r="B31" s="54"/>
      <c r="C31" s="24" t="n">
        <f aca="false">C30+Debt_Schedule!C26-Balance_Sheet!C39</f>
        <v>26967.44</v>
      </c>
      <c r="D31" s="24" t="n">
        <f aca="false">D30+Debt_Schedule!D26-Balance_Sheet!D39</f>
        <v>36348.24</v>
      </c>
      <c r="E31" s="24" t="n">
        <f aca="false">E30+Debt_Schedule!E26-Balance_Sheet!E39</f>
        <v>48416.64</v>
      </c>
      <c r="F31" s="24" t="n">
        <f aca="false">F30+Debt_Schedule!F26-Balance_Sheet!F39</f>
        <v>42263.76</v>
      </c>
      <c r="G31" s="24" t="n">
        <f aca="false">G30+Debt_Schedule!G26-Balance_Sheet!G39</f>
        <v>34040.4028796029</v>
      </c>
      <c r="H31" s="24" t="n">
        <f aca="false">H30+Debt_Schedule!H26-Balance_Sheet!H39</f>
        <v>33880.4200124501</v>
      </c>
      <c r="I31" s="24" t="n">
        <f aca="false">I30+Debt_Schedule!I26-Balance_Sheet!I39</f>
        <v>33228.8092224187</v>
      </c>
      <c r="J31" s="24" t="n">
        <f aca="false">J30+Debt_Schedule!J26-Balance_Sheet!J39</f>
        <v>32962.5477521052</v>
      </c>
      <c r="K31" s="24" t="n">
        <f aca="false">K30+Debt_Schedule!K26-Balance_Sheet!K39</f>
        <v>31977.0738884213</v>
      </c>
    </row>
    <row r="32" customFormat="false" ht="15" hidden="false" customHeight="false" outlineLevel="0" collapsed="false">
      <c r="A32" s="51" t="s">
        <v>806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</row>
    <row r="33" customFormat="false" ht="15" hidden="false" customHeight="false" outlineLevel="0" collapsed="false">
      <c r="A33" s="53" t="s">
        <v>807</v>
      </c>
      <c r="B33" s="54"/>
      <c r="C33" s="33" t="n">
        <f aca="false">C31/Income_Statement!C14</f>
        <v>47.063595113438</v>
      </c>
      <c r="D33" s="33" t="n">
        <f aca="false">D31/Income_Statement!D14</f>
        <v>76.6840506329114</v>
      </c>
      <c r="E33" s="33" t="n">
        <f aca="false">E31/Income_Statement!E14</f>
        <v>43.3452461951656</v>
      </c>
      <c r="F33" s="33" t="n">
        <f aca="false">F31/Income_Statement!F14</f>
        <v>65.2218518518518</v>
      </c>
      <c r="G33" s="33" t="n">
        <f aca="false">G31/Income_Statement!G14</f>
        <v>32.6340446704526</v>
      </c>
      <c r="H33" s="33" t="n">
        <f aca="false">H31/Income_Statement!H14</f>
        <v>25.8244642904194</v>
      </c>
      <c r="I33" s="33" t="n">
        <f aca="false">I31/Income_Statement!I14</f>
        <v>21.5338184513402</v>
      </c>
      <c r="J33" s="33" t="n">
        <f aca="false">J31/Income_Statement!J14</f>
        <v>19.2359293313106</v>
      </c>
      <c r="K33" s="33" t="n">
        <f aca="false">K31/Income_Statement!K14</f>
        <v>16.5397659745849</v>
      </c>
    </row>
    <row r="34" customFormat="false" ht="15" hidden="false" customHeight="false" outlineLevel="0" collapsed="false">
      <c r="A34" s="53" t="s">
        <v>808</v>
      </c>
      <c r="B34" s="54"/>
      <c r="C34" s="33" t="n">
        <f aca="false">C30/Income_Statement!C27</f>
        <v>200.440296296296</v>
      </c>
      <c r="D34" s="33" t="n">
        <f aca="false">D30/Income_Statement!D27</f>
        <v>148.322113821138</v>
      </c>
      <c r="E34" s="33" t="n">
        <f aca="false">E30/Income_Statement!E27</f>
        <v>57.761245508982</v>
      </c>
      <c r="F34" s="33" t="n">
        <f aca="false">F30/Income_Statement!F27</f>
        <v>113.417142857143</v>
      </c>
      <c r="G34" s="33" t="n">
        <f aca="false">G30/Income_Statement!G27</f>
        <v>46.5170548975648</v>
      </c>
      <c r="H34" s="33" t="n">
        <f aca="false">H30/Income_Statement!H27</f>
        <v>37.18074133557</v>
      </c>
      <c r="I34" s="33" t="n">
        <f aca="false">I30/Income_Statement!I27</f>
        <v>30.3117416825854</v>
      </c>
      <c r="J34" s="33" t="n">
        <f aca="false">J30/Income_Statement!J27</f>
        <v>27.5884986755011</v>
      </c>
      <c r="K34" s="33" t="n">
        <f aca="false">K30/Income_Statement!K27</f>
        <v>23.9005196142518</v>
      </c>
    </row>
    <row r="35" customFormat="false" ht="15" hidden="false" customHeight="false" outlineLevel="0" collapsed="false">
      <c r="A35" s="53" t="s">
        <v>809</v>
      </c>
      <c r="B35" s="54"/>
      <c r="C35" s="33" t="n">
        <f aca="false">C30/Balance_Sheet!C10</f>
        <v>4.92527120495086</v>
      </c>
      <c r="D35" s="33" t="n">
        <f aca="false">D30/Balance_Sheet!D10</f>
        <v>6.23287324906047</v>
      </c>
      <c r="E35" s="33" t="n">
        <f aca="false">E30/Balance_Sheet!E10</f>
        <v>7.37471559633028</v>
      </c>
      <c r="F35" s="33" t="n">
        <f aca="false">F30/Balance_Sheet!F10</f>
        <v>6.5756774496015</v>
      </c>
      <c r="G35" s="33" t="n">
        <f aca="false">G30/Balance_Sheet!G10</f>
        <v>4.88076720420157</v>
      </c>
      <c r="H35" s="33" t="n">
        <f aca="false">H30/Balance_Sheet!H10</f>
        <v>4.38771134656908</v>
      </c>
      <c r="I35" s="33" t="n">
        <f aca="false">I30/Balance_Sheet!I10</f>
        <v>3.89063353369716</v>
      </c>
      <c r="J35" s="33" t="n">
        <f aca="false">J30/Balance_Sheet!J10</f>
        <v>3.45539731021075</v>
      </c>
      <c r="K35" s="33" t="n">
        <f aca="false">K30/Balance_Sheet!K10</f>
        <v>3.05464579666493</v>
      </c>
    </row>
    <row r="36" customFormat="false" ht="15" hidden="false" customHeight="false" outlineLevel="0" collapsed="false">
      <c r="A36" s="53" t="s">
        <v>810</v>
      </c>
      <c r="B36" s="54"/>
      <c r="C36" s="30" t="n">
        <f aca="false">-Cash_Flow!C27/C30</f>
        <v>0.00676288940199797</v>
      </c>
      <c r="D36" s="30" t="n">
        <f aca="false">-Cash_Flow!D27/D30</f>
        <v>0.00391917832096919</v>
      </c>
      <c r="E36" s="30" t="n">
        <f aca="false">-Cash_Flow!E27/E30</f>
        <v>0.00377353483179987</v>
      </c>
      <c r="F36" s="30" t="n">
        <f aca="false">-Cash_Flow!F27/F30</f>
        <v>0.00551360148448967</v>
      </c>
      <c r="G36" s="30" t="n">
        <f aca="false">-Cash_Flow!G27/G30</f>
        <v>0.00387221684414327</v>
      </c>
      <c r="H36" s="30" t="n">
        <f aca="false">-Cash_Flow!H27/H30</f>
        <v>0.00387221684414327</v>
      </c>
      <c r="I36" s="30" t="n">
        <f aca="false">-Cash_Flow!I27/I30</f>
        <v>0.00387221684414327</v>
      </c>
      <c r="J36" s="30" t="n">
        <f aca="false">-Cash_Flow!J27/J30</f>
        <v>0.00387221684414327</v>
      </c>
      <c r="K36" s="30" t="n">
        <f aca="false">-Cash_Flow!K27/K30</f>
        <v>0.00387221684414327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5" min="3" style="0" width="11"/>
    <col collapsed="false" customWidth="true" hidden="false" outlineLevel="0" max="6" min="6" style="0" width="13"/>
    <col collapsed="false" customWidth="true" hidden="false" outlineLevel="0" max="13" min="7" style="0" width="11"/>
    <col collapsed="false" customWidth="true" hidden="false" outlineLevel="0" max="14" min="14" style="0" width="14"/>
    <col collapsed="false" customWidth="true" hidden="false" outlineLevel="0" max="15" min="15" style="0" width="16"/>
  </cols>
  <sheetData>
    <row r="1" customFormat="false" ht="17.35" hidden="false" customHeight="false" outlineLevel="0" collapsed="false">
      <c r="A1" s="17" t="s">
        <v>811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18" t="s">
        <v>812</v>
      </c>
    </row>
    <row r="3" customFormat="false" ht="42" hidden="false" customHeight="true" outlineLevel="0" collapsed="false">
      <c r="A3" s="19" t="s">
        <v>813</v>
      </c>
      <c r="B3" s="19" t="s">
        <v>814</v>
      </c>
      <c r="C3" s="19" t="s">
        <v>815</v>
      </c>
      <c r="D3" s="19" t="s">
        <v>816</v>
      </c>
      <c r="E3" s="19" t="s">
        <v>817</v>
      </c>
      <c r="F3" s="19" t="s">
        <v>818</v>
      </c>
      <c r="G3" s="19" t="s">
        <v>819</v>
      </c>
      <c r="H3" s="19" t="s">
        <v>820</v>
      </c>
      <c r="I3" s="19" t="s">
        <v>821</v>
      </c>
      <c r="J3" s="19" t="s">
        <v>822</v>
      </c>
      <c r="K3" s="19" t="s">
        <v>823</v>
      </c>
      <c r="L3" s="19" t="s">
        <v>824</v>
      </c>
      <c r="M3" s="19" t="s">
        <v>825</v>
      </c>
      <c r="N3" s="19" t="s">
        <v>826</v>
      </c>
      <c r="O3" s="19" t="s">
        <v>827</v>
      </c>
    </row>
    <row r="4" customFormat="false" ht="15" hidden="false" customHeight="false" outlineLevel="0" collapsed="false">
      <c r="A4" s="7" t="n">
        <v>1</v>
      </c>
      <c r="B4" s="7" t="s">
        <v>828</v>
      </c>
      <c r="C4" s="27" t="n">
        <v>1718</v>
      </c>
      <c r="D4" s="23" t="n">
        <v>459</v>
      </c>
      <c r="E4" s="27" t="n">
        <v>67.88</v>
      </c>
      <c r="F4" s="23" t="n">
        <v>116618</v>
      </c>
      <c r="G4" s="23" t="n">
        <v>112596</v>
      </c>
      <c r="H4" s="23" t="n">
        <v>4476</v>
      </c>
      <c r="I4" s="23" t="n">
        <v>25575</v>
      </c>
      <c r="J4" s="36" t="n">
        <v>1824.7</v>
      </c>
      <c r="K4" s="32" t="n">
        <v>33.7</v>
      </c>
      <c r="L4" s="77" t="n">
        <v>0.1</v>
      </c>
      <c r="M4" s="36" t="n">
        <v>2412.9</v>
      </c>
      <c r="N4" s="78" t="n">
        <f aca="false">D4-H4</f>
        <v>-4017</v>
      </c>
      <c r="O4" s="79" t="n">
        <f aca="false">C4*E4-F4</f>
        <v>-0.160000000003492</v>
      </c>
    </row>
    <row r="5" customFormat="false" ht="15" hidden="false" customHeight="false" outlineLevel="0" collapsed="false">
      <c r="A5" s="7" t="n">
        <v>2</v>
      </c>
      <c r="B5" s="7" t="s">
        <v>829</v>
      </c>
      <c r="C5" s="27" t="n">
        <v>1032.85</v>
      </c>
      <c r="D5" s="23" t="n">
        <v>992</v>
      </c>
      <c r="E5" s="27" t="n">
        <v>33.09</v>
      </c>
      <c r="F5" s="23" t="n">
        <v>34177</v>
      </c>
      <c r="G5" s="23" t="n">
        <v>34387</v>
      </c>
      <c r="H5" s="23" t="n">
        <v>781</v>
      </c>
      <c r="I5" s="23" t="n">
        <v>14979</v>
      </c>
      <c r="J5" s="36" t="n">
        <v>442.2</v>
      </c>
      <c r="K5" s="32" t="n">
        <v>33.7</v>
      </c>
      <c r="L5" s="77" t="n">
        <v>0.2</v>
      </c>
      <c r="M5" s="36" t="n">
        <v>516.3</v>
      </c>
      <c r="N5" s="78" t="n">
        <f aca="false">D5-H5</f>
        <v>211</v>
      </c>
      <c r="O5" s="79" t="n">
        <f aca="false">C5*E5-F5</f>
        <v>0.00650000000314321</v>
      </c>
    </row>
    <row r="6" customFormat="false" ht="15" hidden="false" customHeight="false" outlineLevel="0" collapsed="false">
      <c r="A6" s="7" t="n">
        <v>3</v>
      </c>
      <c r="B6" s="7" t="s">
        <v>830</v>
      </c>
      <c r="C6" s="27" t="n">
        <v>1571.75</v>
      </c>
      <c r="D6" s="23" t="n">
        <v>810</v>
      </c>
      <c r="E6" s="27" t="n">
        <v>20.56</v>
      </c>
      <c r="F6" s="23" t="n">
        <v>32315</v>
      </c>
      <c r="G6" s="23" t="n">
        <v>32725</v>
      </c>
      <c r="H6" s="23" t="n">
        <v>402</v>
      </c>
      <c r="I6" s="23" t="n">
        <v>12798</v>
      </c>
      <c r="J6" s="36" t="n">
        <v>509</v>
      </c>
      <c r="K6" s="32" t="n">
        <v>33.7</v>
      </c>
      <c r="L6" s="77" t="n">
        <v>0.2</v>
      </c>
      <c r="M6" s="36" t="n">
        <v>933.1</v>
      </c>
      <c r="N6" s="78" t="n">
        <f aca="false">D6-H6</f>
        <v>408</v>
      </c>
      <c r="O6" s="79" t="n">
        <f aca="false">C6*E6-F6</f>
        <v>0.179999999996653</v>
      </c>
    </row>
    <row r="7" customFormat="false" ht="15" hidden="false" customHeight="false" outlineLevel="0" collapsed="false">
      <c r="A7" s="7" t="n">
        <v>4</v>
      </c>
      <c r="B7" s="7" t="s">
        <v>831</v>
      </c>
      <c r="C7" s="27" t="n">
        <v>6688.55</v>
      </c>
      <c r="D7" s="23" t="n">
        <v>2702</v>
      </c>
      <c r="E7" s="27" t="n">
        <v>3.53</v>
      </c>
      <c r="F7" s="23" t="n">
        <v>23611</v>
      </c>
      <c r="G7" s="23" t="n">
        <v>25825</v>
      </c>
      <c r="H7" s="23" t="n">
        <v>466</v>
      </c>
      <c r="I7" s="23" t="n">
        <v>12625</v>
      </c>
      <c r="J7" s="36" t="n">
        <v>123.6</v>
      </c>
      <c r="K7" s="32" t="n">
        <v>33.7</v>
      </c>
      <c r="L7" s="77" t="n">
        <v>0.6</v>
      </c>
      <c r="M7" s="36" t="n">
        <v>864.8</v>
      </c>
      <c r="N7" s="78" t="n">
        <f aca="false">D7-H7</f>
        <v>2236</v>
      </c>
      <c r="O7" s="79" t="n">
        <f aca="false">C7*E7-F7</f>
        <v>-0.418499999999767</v>
      </c>
    </row>
    <row r="8" customFormat="false" ht="15" hidden="false" customHeight="false" outlineLevel="0" collapsed="false">
      <c r="A8" s="7" t="n">
        <v>5</v>
      </c>
      <c r="B8" s="7" t="s">
        <v>832</v>
      </c>
      <c r="C8" s="27" t="n">
        <v>216.55</v>
      </c>
      <c r="D8" s="23" t="n">
        <v>192</v>
      </c>
      <c r="E8" s="27" t="n">
        <v>64.39</v>
      </c>
      <c r="F8" s="23" t="n">
        <v>13944</v>
      </c>
      <c r="G8" s="23" t="n">
        <v>13965</v>
      </c>
      <c r="H8" s="23" t="n">
        <v>170</v>
      </c>
      <c r="I8" s="23" t="n">
        <v>7397</v>
      </c>
      <c r="J8" s="36" t="n">
        <v>-228.1</v>
      </c>
      <c r="K8" s="32" t="n">
        <v>33.7</v>
      </c>
      <c r="L8" s="77" t="n">
        <v>0.1</v>
      </c>
      <c r="M8" s="36" t="n">
        <v>746.1</v>
      </c>
      <c r="N8" s="78" t="n">
        <f aca="false">D8-H8</f>
        <v>22</v>
      </c>
      <c r="O8" s="79" t="n">
        <f aca="false">C8*E8-F8</f>
        <v>-0.345499999999447</v>
      </c>
    </row>
    <row r="10" customFormat="false" ht="15" hidden="false" customHeight="false" outlineLevel="0" collapsed="false">
      <c r="A10" s="5" t="s">
        <v>833</v>
      </c>
      <c r="B10" s="80" t="n">
        <f aca="false">SLOPE(H14:H116,$I$14:$I$116)</f>
        <v>0.932207026918339</v>
      </c>
      <c r="C10" s="80" t="n">
        <f aca="false">SLOPE(I14:I116,$I$14:$I$116)</f>
        <v>1</v>
      </c>
      <c r="D10" s="80" t="n">
        <f aca="false">SLOPE(J14:J116,$I$14:$I$116)</f>
        <v>0.740250793866333</v>
      </c>
      <c r="E10" s="80" t="n">
        <f aca="false">SLOPE(K14:K116,$I$14:$I$116)</f>
        <v>1.1809716254796</v>
      </c>
      <c r="F10" s="80" t="n">
        <f aca="false">SLOPE(L14:L116,$I$14:$I$116)</f>
        <v>1.63162390780663</v>
      </c>
      <c r="G10" s="80" t="n">
        <f aca="false">SLOPE(M14:M116,$I$14:$I$116)</f>
        <v>1.13739034533582</v>
      </c>
      <c r="H10" s="18" t="s">
        <v>834</v>
      </c>
    </row>
    <row r="11" customFormat="false" ht="15" hidden="false" customHeight="false" outlineLevel="0" collapsed="false">
      <c r="A11" s="7" t="s">
        <v>835</v>
      </c>
      <c r="B11" s="47" t="n">
        <f aca="false">COUNT(H14:H116)</f>
        <v>103</v>
      </c>
      <c r="C11" s="47" t="n">
        <f aca="false">COUNT(I14:I116)</f>
        <v>103</v>
      </c>
      <c r="D11" s="47" t="n">
        <f aca="false">COUNT(J14:J116)</f>
        <v>51</v>
      </c>
      <c r="E11" s="47" t="n">
        <f aca="false">COUNT(K14:K116)</f>
        <v>103</v>
      </c>
      <c r="F11" s="47" t="n">
        <f aca="false">COUNT(L14:L116)</f>
        <v>103</v>
      </c>
      <c r="G11" s="47" t="n">
        <f aca="false">COUNT(M14:M116)</f>
        <v>103</v>
      </c>
      <c r="H11" s="18" t="s">
        <v>836</v>
      </c>
    </row>
    <row r="12" customFormat="false" ht="15" hidden="false" customHeight="false" outlineLevel="0" collapsed="false">
      <c r="A12" s="51" t="s">
        <v>837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</row>
    <row r="13" customFormat="false" ht="23.85" hidden="false" customHeight="false" outlineLevel="0" collapsed="false">
      <c r="A13" s="19" t="s">
        <v>838</v>
      </c>
      <c r="B13" s="19" t="s">
        <v>829</v>
      </c>
      <c r="C13" s="19" t="s">
        <v>839</v>
      </c>
      <c r="D13" s="19" t="s">
        <v>840</v>
      </c>
      <c r="E13" s="19" t="s">
        <v>830</v>
      </c>
      <c r="F13" s="19" t="s">
        <v>841</v>
      </c>
      <c r="G13" s="19" t="s">
        <v>842</v>
      </c>
      <c r="H13" s="19" t="s">
        <v>843</v>
      </c>
      <c r="I13" s="19" t="s">
        <v>844</v>
      </c>
      <c r="J13" s="19" t="s">
        <v>845</v>
      </c>
      <c r="K13" s="19" t="s">
        <v>846</v>
      </c>
      <c r="L13" s="19" t="s">
        <v>847</v>
      </c>
      <c r="M13" s="19" t="s">
        <v>848</v>
      </c>
    </row>
    <row r="14" customFormat="false" ht="15" hidden="false" customHeight="false" outlineLevel="0" collapsed="false">
      <c r="A14" s="81" t="n">
        <v>46306</v>
      </c>
      <c r="B14" s="27" t="n">
        <v>1029.1</v>
      </c>
      <c r="C14" s="27" t="n">
        <v>23146.15</v>
      </c>
      <c r="D14" s="27" t="n">
        <v>1720</v>
      </c>
      <c r="E14" s="27" t="n">
        <v>1567.6</v>
      </c>
      <c r="F14" s="27" t="n">
        <v>6668</v>
      </c>
      <c r="G14" s="27" t="n">
        <v>215.5</v>
      </c>
      <c r="H14" s="72" t="n">
        <f aca="false">B14/B15-1</f>
        <v>-0.00445003385895337</v>
      </c>
      <c r="I14" s="72" t="n">
        <f aca="false">C14/C15-1</f>
        <v>0.0277836366502446</v>
      </c>
      <c r="J14" s="72" t="n">
        <f aca="false">D14/D15-1</f>
        <v>-0.0210586226522481</v>
      </c>
      <c r="K14" s="72" t="n">
        <f aca="false">E14/E15-1</f>
        <v>-0.00406607369758583</v>
      </c>
      <c r="L14" s="72" t="n">
        <f aca="false">F14/F15-1</f>
        <v>0.0346004654771142</v>
      </c>
      <c r="M14" s="72" t="n">
        <f aca="false">G14/G15-1</f>
        <v>0.0506557456974306</v>
      </c>
    </row>
    <row r="15" customFormat="false" ht="15" hidden="false" customHeight="false" outlineLevel="0" collapsed="false">
      <c r="A15" s="81" t="n">
        <v>46299</v>
      </c>
      <c r="B15" s="27" t="n">
        <v>1033.7</v>
      </c>
      <c r="C15" s="27" t="n">
        <v>22520.45</v>
      </c>
      <c r="D15" s="27" t="n">
        <v>1757</v>
      </c>
      <c r="E15" s="27" t="n">
        <v>1574</v>
      </c>
      <c r="F15" s="27" t="n">
        <v>6445</v>
      </c>
      <c r="G15" s="27" t="n">
        <v>205.11</v>
      </c>
      <c r="H15" s="72" t="n">
        <f aca="false">B15/B16-1</f>
        <v>-0.0185150018989746</v>
      </c>
      <c r="I15" s="72" t="n">
        <f aca="false">C15/C16-1</f>
        <v>0.00439301666447389</v>
      </c>
      <c r="J15" s="72" t="n">
        <f aca="false">D15/D16-1</f>
        <v>0.0204437216866071</v>
      </c>
      <c r="K15" s="72" t="n">
        <f aca="false">E15/E16-1</f>
        <v>0.0783776377089613</v>
      </c>
      <c r="L15" s="72" t="n">
        <f aca="false">F15/F16-1</f>
        <v>-0.00846153846153841</v>
      </c>
      <c r="M15" s="72" t="n">
        <f aca="false">G15/G16-1</f>
        <v>0.0118894918598915</v>
      </c>
    </row>
    <row r="16" customFormat="false" ht="15" hidden="false" customHeight="false" outlineLevel="0" collapsed="false">
      <c r="A16" s="81" t="n">
        <v>46292</v>
      </c>
      <c r="B16" s="27" t="n">
        <v>1053.2</v>
      </c>
      <c r="C16" s="27" t="n">
        <v>22421.95</v>
      </c>
      <c r="D16" s="27" t="n">
        <v>1721.8</v>
      </c>
      <c r="E16" s="27" t="n">
        <v>1459.6</v>
      </c>
      <c r="F16" s="27" t="n">
        <v>6500</v>
      </c>
      <c r="G16" s="27" t="n">
        <v>202.7</v>
      </c>
      <c r="H16" s="72" t="n">
        <f aca="false">B16/B17-1</f>
        <v>-0.058129136111608</v>
      </c>
      <c r="I16" s="72" t="n">
        <f aca="false">C16/C17-1</f>
        <v>-0.031051619455068</v>
      </c>
      <c r="J16" s="72" t="n">
        <f aca="false">D16/D17-1</f>
        <v>-0.00208647270198226</v>
      </c>
      <c r="K16" s="72" t="n">
        <f aca="false">E16/E17-1</f>
        <v>-0.0673482428115017</v>
      </c>
      <c r="L16" s="72" t="n">
        <f aca="false">F16/F17-1</f>
        <v>-0.0660919540229885</v>
      </c>
      <c r="M16" s="72" t="n">
        <f aca="false">G16/G17-1</f>
        <v>-0.0727355901189387</v>
      </c>
    </row>
    <row r="17" customFormat="false" ht="15" hidden="false" customHeight="false" outlineLevel="0" collapsed="false">
      <c r="A17" s="81" t="n">
        <v>46285</v>
      </c>
      <c r="B17" s="27" t="n">
        <v>1118.2</v>
      </c>
      <c r="C17" s="27" t="n">
        <v>23140.5</v>
      </c>
      <c r="D17" s="27" t="n">
        <v>1725.4</v>
      </c>
      <c r="E17" s="27" t="n">
        <v>1565</v>
      </c>
      <c r="F17" s="27" t="n">
        <v>6960</v>
      </c>
      <c r="G17" s="27" t="n">
        <v>218.6</v>
      </c>
      <c r="H17" s="72" t="n">
        <f aca="false">B17/B18-1</f>
        <v>0.00657124853722202</v>
      </c>
      <c r="I17" s="72" t="n">
        <f aca="false">C17/C18-1</f>
        <v>-0.00881934688003294</v>
      </c>
      <c r="J17" s="72" t="n">
        <f aca="false">D17/D18-1</f>
        <v>0.0167953326654489</v>
      </c>
      <c r="K17" s="72" t="n">
        <f aca="false">E17/E18-1</f>
        <v>0.0216738477608043</v>
      </c>
      <c r="L17" s="72" t="n">
        <f aca="false">F17/F18-1</f>
        <v>-0.0231578947368422</v>
      </c>
      <c r="M17" s="72" t="n">
        <f aca="false">G17/G18-1</f>
        <v>-0.037513208876365</v>
      </c>
    </row>
    <row r="18" customFormat="false" ht="15" hidden="false" customHeight="false" outlineLevel="0" collapsed="false">
      <c r="A18" s="81" t="n">
        <v>46278</v>
      </c>
      <c r="B18" s="27" t="n">
        <v>1110.9</v>
      </c>
      <c r="C18" s="27" t="n">
        <v>23346.4</v>
      </c>
      <c r="D18" s="27" t="n">
        <v>1696.9</v>
      </c>
      <c r="E18" s="27" t="n">
        <v>1531.8</v>
      </c>
      <c r="F18" s="27" t="n">
        <v>7125</v>
      </c>
      <c r="G18" s="27" t="n">
        <v>227.12</v>
      </c>
      <c r="H18" s="72" t="n">
        <f aca="false">B18/B19-1</f>
        <v>-0.0464377682403433</v>
      </c>
      <c r="I18" s="72" t="n">
        <f aca="false">C18/C19-1</f>
        <v>-0.00220958111983438</v>
      </c>
      <c r="J18" s="72" t="n">
        <f aca="false">D18/D19-1</f>
        <v>0.0367179863147606</v>
      </c>
      <c r="K18" s="72" t="n">
        <f aca="false">E18/E19-1</f>
        <v>-0.016816431322208</v>
      </c>
      <c r="L18" s="72" t="n">
        <f aca="false">F18/F19-1</f>
        <v>-0.0165631469979296</v>
      </c>
      <c r="M18" s="72" t="n">
        <f aca="false">G18/G19-1</f>
        <v>-0.0167965367965368</v>
      </c>
    </row>
    <row r="19" customFormat="false" ht="15" hidden="false" customHeight="false" outlineLevel="0" collapsed="false">
      <c r="A19" s="81" t="n">
        <v>46271</v>
      </c>
      <c r="B19" s="27" t="n">
        <v>1165</v>
      </c>
      <c r="C19" s="27" t="n">
        <v>23398.1</v>
      </c>
      <c r="D19" s="27" t="n">
        <v>1636.8</v>
      </c>
      <c r="E19" s="27" t="n">
        <v>1558</v>
      </c>
      <c r="F19" s="27" t="n">
        <v>7245</v>
      </c>
      <c r="G19" s="27" t="n">
        <v>231</v>
      </c>
      <c r="H19" s="72" t="n">
        <f aca="false">B19/B20-1</f>
        <v>-0.00427350427350426</v>
      </c>
      <c r="I19" s="72" t="n">
        <f aca="false">C19/C20-1</f>
        <v>-0.0209057775434457</v>
      </c>
      <c r="J19" s="72" t="n">
        <f aca="false">D19/D20-1</f>
        <v>-0.00237703419272273</v>
      </c>
      <c r="K19" s="72" t="n">
        <f aca="false">E19/E20-1</f>
        <v>0.0498652291105122</v>
      </c>
      <c r="L19" s="72" t="n">
        <f aca="false">F19/F20-1</f>
        <v>-0.0306395504415307</v>
      </c>
      <c r="M19" s="72" t="n">
        <f aca="false">G19/G20-1</f>
        <v>-0.00602409638554224</v>
      </c>
    </row>
    <row r="20" customFormat="false" ht="15" hidden="false" customHeight="false" outlineLevel="0" collapsed="false">
      <c r="A20" s="81" t="n">
        <v>46264</v>
      </c>
      <c r="B20" s="27" t="n">
        <v>1170</v>
      </c>
      <c r="C20" s="27" t="n">
        <v>23897.7</v>
      </c>
      <c r="D20" s="27" t="n">
        <v>1640.7</v>
      </c>
      <c r="E20" s="27" t="n">
        <v>1484</v>
      </c>
      <c r="F20" s="27" t="n">
        <v>7474</v>
      </c>
      <c r="G20" s="27" t="n">
        <v>232.4</v>
      </c>
      <c r="H20" s="72" t="n">
        <f aca="false">B20/B21-1</f>
        <v>-0.025</v>
      </c>
      <c r="I20" s="72" t="n">
        <f aca="false">C20/C21-1</f>
        <v>-0.0114971055586923</v>
      </c>
      <c r="J20" s="72" t="n">
        <f aca="false">D20/D21-1</f>
        <v>-0.0299751684994679</v>
      </c>
      <c r="K20" s="72" t="n">
        <f aca="false">E20/E21-1</f>
        <v>0.00270270270270268</v>
      </c>
      <c r="L20" s="72" t="n">
        <f aca="false">F20/F21-1</f>
        <v>-0.0261889250814332</v>
      </c>
      <c r="M20" s="72" t="n">
        <f aca="false">G20/G21-1</f>
        <v>-0.0025751072961373</v>
      </c>
    </row>
    <row r="21" customFormat="false" ht="15" hidden="false" customHeight="false" outlineLevel="0" collapsed="false">
      <c r="A21" s="81" t="n">
        <v>46257</v>
      </c>
      <c r="B21" s="27" t="n">
        <v>1200</v>
      </c>
      <c r="C21" s="27" t="n">
        <v>24175.65</v>
      </c>
      <c r="D21" s="27" t="n">
        <v>1691.4</v>
      </c>
      <c r="E21" s="27" t="n">
        <v>1480</v>
      </c>
      <c r="F21" s="27" t="n">
        <v>7675</v>
      </c>
      <c r="G21" s="27" t="n">
        <v>233</v>
      </c>
      <c r="H21" s="72" t="n">
        <f aca="false">B21/B22-1</f>
        <v>-0.02834008097166</v>
      </c>
      <c r="I21" s="72" t="n">
        <f aca="false">C21/C22-1</f>
        <v>-0.00314819396338439</v>
      </c>
      <c r="J21" s="72" t="n">
        <f aca="false">D21/D22-1</f>
        <v>0.0419515801145816</v>
      </c>
      <c r="K21" s="72" t="n">
        <f aca="false">E21/E22-1</f>
        <v>-0.0210992790528475</v>
      </c>
      <c r="L21" s="72" t="n">
        <f aca="false">F21/F22-1</f>
        <v>0.0442176870748299</v>
      </c>
      <c r="M21" s="72" t="n">
        <f aca="false">G21/G22-1</f>
        <v>-0.0753968253968254</v>
      </c>
    </row>
    <row r="22" customFormat="false" ht="15" hidden="false" customHeight="false" outlineLevel="0" collapsed="false">
      <c r="A22" s="81" t="n">
        <v>46250</v>
      </c>
      <c r="B22" s="27" t="n">
        <v>1235</v>
      </c>
      <c r="C22" s="27" t="n">
        <v>24252</v>
      </c>
      <c r="D22" s="27" t="n">
        <v>1623.3</v>
      </c>
      <c r="E22" s="27" t="n">
        <v>1511.9</v>
      </c>
      <c r="F22" s="27" t="n">
        <v>7350</v>
      </c>
      <c r="G22" s="27" t="n">
        <v>252</v>
      </c>
      <c r="H22" s="72" t="n">
        <f aca="false">B22/B23-1</f>
        <v>-0.064748201438849</v>
      </c>
      <c r="I22" s="72" t="n">
        <f aca="false">C22/C23-1</f>
        <v>-0.00467865057867523</v>
      </c>
      <c r="J22" s="72" t="n">
        <f aca="false">D22/D23-1</f>
        <v>-0.0615135572642656</v>
      </c>
      <c r="K22" s="72" t="n">
        <f aca="false">E22/E23-1</f>
        <v>0.00258620689655187</v>
      </c>
      <c r="L22" s="72" t="n">
        <f aca="false">F22/F23-1</f>
        <v>0.0177236222653006</v>
      </c>
      <c r="M22" s="72" t="n">
        <f aca="false">G22/G23-1</f>
        <v>0.0149013290374547</v>
      </c>
    </row>
    <row r="23" customFormat="false" ht="15" hidden="false" customHeight="false" outlineLevel="0" collapsed="false">
      <c r="A23" s="81" t="n">
        <v>46243</v>
      </c>
      <c r="B23" s="27" t="n">
        <v>1320.5</v>
      </c>
      <c r="C23" s="27" t="n">
        <v>24366</v>
      </c>
      <c r="D23" s="27" t="n">
        <v>1729.7</v>
      </c>
      <c r="E23" s="27" t="n">
        <v>1508</v>
      </c>
      <c r="F23" s="27" t="n">
        <v>7222</v>
      </c>
      <c r="G23" s="27" t="n">
        <v>248.3</v>
      </c>
      <c r="H23" s="72" t="n">
        <f aca="false">B23/B24-1</f>
        <v>0.0276264591439688</v>
      </c>
      <c r="I23" s="72" t="n">
        <f aca="false">C23/C24-1</f>
        <v>-0.00832904298421089</v>
      </c>
      <c r="J23" s="72" t="n">
        <f aca="false">D23/D24-1</f>
        <v>0.0902615820989601</v>
      </c>
      <c r="K23" s="72" t="n">
        <f aca="false">E23/E24-1</f>
        <v>-0.0039630118890357</v>
      </c>
      <c r="L23" s="72" t="n">
        <f aca="false">F23/F24-1</f>
        <v>-0.0286482851378614</v>
      </c>
      <c r="M23" s="72" t="n">
        <f aca="false">G23/G24-1</f>
        <v>-0.00660132026405269</v>
      </c>
    </row>
    <row r="24" customFormat="false" ht="15" hidden="false" customHeight="false" outlineLevel="0" collapsed="false">
      <c r="A24" s="81" t="n">
        <v>46236</v>
      </c>
      <c r="B24" s="27" t="n">
        <v>1285</v>
      </c>
      <c r="C24" s="27" t="n">
        <v>24570.65</v>
      </c>
      <c r="D24" s="27" t="n">
        <v>1586.5</v>
      </c>
      <c r="E24" s="27" t="n">
        <v>1514</v>
      </c>
      <c r="F24" s="27" t="n">
        <v>7435</v>
      </c>
      <c r="G24" s="27" t="n">
        <v>249.95</v>
      </c>
      <c r="H24" s="72" t="n">
        <f aca="false">B24/B25-1</f>
        <v>-0.0330348408458124</v>
      </c>
      <c r="I24" s="72" t="n">
        <f aca="false">C24/C25-1</f>
        <v>0.00767113961843213</v>
      </c>
      <c r="J24" s="72" t="n">
        <f aca="false">D24/D25-1</f>
        <v>0.0644079168064409</v>
      </c>
      <c r="K24" s="72" t="n">
        <f aca="false">E24/E25-1</f>
        <v>-0.0994527718296455</v>
      </c>
      <c r="L24" s="72" t="n">
        <f aca="false">F24/F25-1</f>
        <v>-0.000739197634567534</v>
      </c>
      <c r="M24" s="72" t="n">
        <f aca="false">G24/G25-1</f>
        <v>-0.0393927747886241</v>
      </c>
    </row>
    <row r="25" customFormat="false" ht="15" hidden="false" customHeight="false" outlineLevel="0" collapsed="false">
      <c r="A25" s="81" t="n">
        <v>46229</v>
      </c>
      <c r="B25" s="27" t="n">
        <v>1328.9</v>
      </c>
      <c r="C25" s="27" t="n">
        <v>24383.6</v>
      </c>
      <c r="D25" s="27" t="n">
        <v>1490.5</v>
      </c>
      <c r="E25" s="27" t="n">
        <v>1681.2</v>
      </c>
      <c r="F25" s="27" t="n">
        <v>7440.5</v>
      </c>
      <c r="G25" s="27" t="n">
        <v>260.2</v>
      </c>
      <c r="H25" s="72" t="n">
        <f aca="false">B25/B26-1</f>
        <v>0.00120545468243805</v>
      </c>
      <c r="I25" s="72" t="n">
        <f aca="false">C25/C26-1</f>
        <v>0.0259241104956567</v>
      </c>
      <c r="J25" s="72" t="n">
        <f aca="false">D25/D26-1</f>
        <v>-0.0240309062336302</v>
      </c>
      <c r="K25" s="72" t="n">
        <f aca="false">E25/E26-1</f>
        <v>0.0268751526997313</v>
      </c>
      <c r="L25" s="72" t="n">
        <f aca="false">F25/F26-1</f>
        <v>0.0246505542931901</v>
      </c>
      <c r="M25" s="72" t="n">
        <f aca="false">G25/G26-1</f>
        <v>0.0401758944633219</v>
      </c>
    </row>
    <row r="26" customFormat="false" ht="15" hidden="false" customHeight="false" outlineLevel="0" collapsed="false">
      <c r="A26" s="81" t="n">
        <v>46222</v>
      </c>
      <c r="B26" s="27" t="n">
        <v>1327.3</v>
      </c>
      <c r="C26" s="27" t="n">
        <v>23767.45</v>
      </c>
      <c r="D26" s="27" t="n">
        <v>1527.2</v>
      </c>
      <c r="E26" s="27" t="n">
        <v>1637.2</v>
      </c>
      <c r="F26" s="27" t="n">
        <v>7261.5</v>
      </c>
      <c r="G26" s="27" t="n">
        <v>250.15</v>
      </c>
      <c r="H26" s="72" t="n">
        <f aca="false">B26/B27-1</f>
        <v>-0.0112485101311086</v>
      </c>
      <c r="I26" s="72" t="n">
        <f aca="false">C26/C27-1</f>
        <v>-0.0232942800902429</v>
      </c>
      <c r="J26" s="72" t="n">
        <f aca="false">D26/D27-1</f>
        <v>-0.0345176381337716</v>
      </c>
      <c r="K26" s="72" t="n">
        <f aca="false">E26/E27-1</f>
        <v>-0.0294623273460194</v>
      </c>
      <c r="L26" s="72" t="n">
        <f aca="false">F26/F27-1</f>
        <v>-0.0695752450509322</v>
      </c>
      <c r="M26" s="72" t="n">
        <f aca="false">G26/G27-1</f>
        <v>-0.0247563352826511</v>
      </c>
    </row>
    <row r="27" customFormat="false" ht="15" hidden="false" customHeight="false" outlineLevel="0" collapsed="false">
      <c r="A27" s="81" t="n">
        <v>46215</v>
      </c>
      <c r="B27" s="27" t="n">
        <v>1342.4</v>
      </c>
      <c r="C27" s="27" t="n">
        <v>24334.3</v>
      </c>
      <c r="D27" s="27" t="n">
        <v>1581.8</v>
      </c>
      <c r="E27" s="27" t="n">
        <v>1686.9</v>
      </c>
      <c r="F27" s="27" t="n">
        <v>7804.5</v>
      </c>
      <c r="G27" s="27" t="n">
        <v>256.5</v>
      </c>
      <c r="H27" s="72" t="n">
        <f aca="false">B27/B28-1</f>
        <v>0.0432890339628507</v>
      </c>
      <c r="I27" s="72" t="n">
        <f aca="false">C27/C28-1</f>
        <v>0.00526296221325318</v>
      </c>
      <c r="J27" s="72" t="n">
        <f aca="false">D27/D28-1</f>
        <v>0.0109286125135808</v>
      </c>
      <c r="K27" s="72" t="n">
        <f aca="false">E27/E28-1</f>
        <v>0.0149819494584837</v>
      </c>
      <c r="L27" s="72" t="n">
        <f aca="false">F27/F28-1</f>
        <v>0.00327805630543776</v>
      </c>
      <c r="M27" s="72" t="n">
        <f aca="false">G27/G28-1</f>
        <v>-0.0198700802445548</v>
      </c>
    </row>
    <row r="28" customFormat="false" ht="15" hidden="false" customHeight="false" outlineLevel="0" collapsed="false">
      <c r="A28" s="81" t="n">
        <v>46208</v>
      </c>
      <c r="B28" s="27" t="n">
        <v>1286.7</v>
      </c>
      <c r="C28" s="27" t="n">
        <v>24206.9</v>
      </c>
      <c r="D28" s="27" t="n">
        <v>1564.7</v>
      </c>
      <c r="E28" s="27" t="n">
        <v>1662</v>
      </c>
      <c r="F28" s="27" t="n">
        <v>7779</v>
      </c>
      <c r="G28" s="27" t="n">
        <v>261.7</v>
      </c>
      <c r="H28" s="72" t="n">
        <f aca="false">B28/B29-1</f>
        <v>0.00507733166692703</v>
      </c>
      <c r="I28" s="72" t="n">
        <f aca="false">C28/C29-1</f>
        <v>-0.00263484797606994</v>
      </c>
      <c r="J28" s="72" t="n">
        <f aca="false">D28/D29-1</f>
        <v>0.0111147011308563</v>
      </c>
      <c r="K28" s="72" t="n">
        <f aca="false">E28/E29-1</f>
        <v>0.0497726124305204</v>
      </c>
      <c r="L28" s="72" t="n">
        <f aca="false">F28/F29-1</f>
        <v>0.0393479858373973</v>
      </c>
      <c r="M28" s="72" t="n">
        <f aca="false">G28/G29-1</f>
        <v>-0.0336041358936485</v>
      </c>
    </row>
    <row r="29" customFormat="false" ht="15" hidden="false" customHeight="false" outlineLevel="0" collapsed="false">
      <c r="A29" s="81" t="n">
        <v>46201</v>
      </c>
      <c r="B29" s="27" t="n">
        <v>1280.2</v>
      </c>
      <c r="C29" s="27" t="n">
        <v>24270.85</v>
      </c>
      <c r="D29" s="27" t="n">
        <v>1547.5</v>
      </c>
      <c r="E29" s="27" t="n">
        <v>1583.2</v>
      </c>
      <c r="F29" s="27" t="n">
        <v>7484.5</v>
      </c>
      <c r="G29" s="27" t="n">
        <v>270.8</v>
      </c>
      <c r="H29" s="72" t="n">
        <f aca="false">B29/B30-1</f>
        <v>-0.0170454545454546</v>
      </c>
      <c r="I29" s="72" t="n">
        <f aca="false">C29/C30-1</f>
        <v>0.00893124376454924</v>
      </c>
      <c r="J29" s="72" t="n">
        <f aca="false">D29/D30-1</f>
        <v>-0.0151466938204035</v>
      </c>
      <c r="K29" s="72" t="n">
        <f aca="false">E29/E30-1</f>
        <v>-0.0329831419496701</v>
      </c>
      <c r="L29" s="72" t="n">
        <f aca="false">F29/F30-1</f>
        <v>-0.0227836532184358</v>
      </c>
      <c r="M29" s="72" t="n">
        <f aca="false">G29/G30-1</f>
        <v>-0.0163458045768253</v>
      </c>
    </row>
    <row r="30" customFormat="false" ht="15" hidden="false" customHeight="false" outlineLevel="0" collapsed="false">
      <c r="A30" s="81" t="n">
        <v>46194</v>
      </c>
      <c r="B30" s="27" t="n">
        <v>1302.4</v>
      </c>
      <c r="C30" s="27" t="n">
        <v>24056</v>
      </c>
      <c r="D30" s="27" t="n">
        <v>1571.3</v>
      </c>
      <c r="E30" s="27" t="n">
        <v>1637.2</v>
      </c>
      <c r="F30" s="27" t="n">
        <v>7659</v>
      </c>
      <c r="G30" s="27" t="n">
        <v>275.3</v>
      </c>
      <c r="H30" s="72" t="n">
        <f aca="false">B30/B31-1</f>
        <v>-0.0305195771921989</v>
      </c>
      <c r="I30" s="72" t="n">
        <f aca="false">C30/C31-1</f>
        <v>0.00178652485518338</v>
      </c>
      <c r="J30" s="72" t="n">
        <f aca="false">D30/D31-1</f>
        <v>-0.0464255370797427</v>
      </c>
      <c r="K30" s="72" t="n">
        <f aca="false">E30/E31-1</f>
        <v>-0.0186417311035185</v>
      </c>
      <c r="L30" s="72" t="n">
        <f aca="false">F30/F31-1</f>
        <v>-0.0291545189504373</v>
      </c>
      <c r="M30" s="72" t="n">
        <f aca="false">G30/G31-1</f>
        <v>0.000181653042688579</v>
      </c>
    </row>
    <row r="31" customFormat="false" ht="15" hidden="false" customHeight="false" outlineLevel="0" collapsed="false">
      <c r="A31" s="81" t="n">
        <v>46187</v>
      </c>
      <c r="B31" s="27" t="n">
        <v>1343.4</v>
      </c>
      <c r="C31" s="27" t="n">
        <v>24013.1</v>
      </c>
      <c r="D31" s="27" t="n">
        <v>1647.8</v>
      </c>
      <c r="E31" s="27" t="n">
        <v>1668.3</v>
      </c>
      <c r="F31" s="27" t="n">
        <v>7889</v>
      </c>
      <c r="G31" s="27" t="n">
        <v>275.25</v>
      </c>
      <c r="H31" s="72" t="n">
        <f aca="false">B31/B32-1</f>
        <v>0.0451221409677922</v>
      </c>
      <c r="I31" s="72" t="n">
        <f aca="false">C31/C32-1</f>
        <v>0.0165178703715461</v>
      </c>
      <c r="J31" s="72" t="n">
        <f aca="false">D31/D32-1</f>
        <v>0.0903917416622551</v>
      </c>
      <c r="K31" s="72" t="n">
        <f aca="false">E31/E32-1</f>
        <v>0.0533526960474808</v>
      </c>
      <c r="L31" s="72" t="n">
        <f aca="false">F31/F32-1</f>
        <v>0.0632075471698113</v>
      </c>
      <c r="M31" s="72" t="n">
        <f aca="false">G31/G32-1</f>
        <v>0.0743559718969555</v>
      </c>
    </row>
    <row r="32" customFormat="false" ht="15" hidden="false" customHeight="false" outlineLevel="0" collapsed="false">
      <c r="A32" s="81" t="n">
        <v>46180</v>
      </c>
      <c r="B32" s="27" t="n">
        <v>1285.4</v>
      </c>
      <c r="C32" s="27" t="n">
        <v>23622.9</v>
      </c>
      <c r="D32" s="27" t="n">
        <v>1511.2</v>
      </c>
      <c r="E32" s="27" t="n">
        <v>1583.8</v>
      </c>
      <c r="F32" s="27" t="n">
        <v>7420</v>
      </c>
      <c r="G32" s="27" t="n">
        <v>256.2</v>
      </c>
      <c r="H32" s="72" t="n">
        <f aca="false">B32/B33-1</f>
        <v>-0.00993607024570586</v>
      </c>
      <c r="I32" s="72" t="n">
        <f aca="false">C32/C33-1</f>
        <v>0.01096432102094</v>
      </c>
      <c r="J32" s="72" t="n">
        <f aca="false">D32/D33-1</f>
        <v>0.00780260086695561</v>
      </c>
      <c r="K32" s="72" t="n">
        <f aca="false">E32/E33-1</f>
        <v>0.00126438234922244</v>
      </c>
      <c r="L32" s="72" t="n">
        <f aca="false">F32/F33-1</f>
        <v>-0.0513935054973153</v>
      </c>
      <c r="M32" s="72" t="n">
        <f aca="false">G32/G33-1</f>
        <v>-0.0390097524381097</v>
      </c>
    </row>
    <row r="33" customFormat="false" ht="15" hidden="false" customHeight="false" outlineLevel="0" collapsed="false">
      <c r="A33" s="81" t="n">
        <v>46173</v>
      </c>
      <c r="B33" s="27" t="n">
        <v>1298.3</v>
      </c>
      <c r="C33" s="27" t="n">
        <v>23366.7</v>
      </c>
      <c r="D33" s="27" t="n">
        <v>1499.5</v>
      </c>
      <c r="E33" s="27" t="n">
        <v>1581.8</v>
      </c>
      <c r="F33" s="27" t="n">
        <v>7822</v>
      </c>
      <c r="G33" s="27" t="n">
        <v>266.6</v>
      </c>
      <c r="H33" s="72" t="n">
        <f aca="false">B33/B34-1</f>
        <v>0.0422252548767761</v>
      </c>
      <c r="I33" s="72" t="n">
        <f aca="false">C33/C34-1</f>
        <v>-0.00768863267191133</v>
      </c>
      <c r="J33" s="72" t="n">
        <f aca="false">D33/D34-1</f>
        <v>-0.0160115493142595</v>
      </c>
      <c r="K33" s="72" t="n">
        <f aca="false">E33/E34-1</f>
        <v>-0.00453115166771556</v>
      </c>
      <c r="L33" s="72" t="n">
        <f aca="false">F33/F34-1</f>
        <v>0.027183191070256</v>
      </c>
      <c r="M33" s="72" t="n">
        <f aca="false">G33/G34-1</f>
        <v>-0.0517517339498487</v>
      </c>
    </row>
    <row r="34" customFormat="false" ht="15" hidden="false" customHeight="false" outlineLevel="0" collapsed="false">
      <c r="A34" s="81" t="n">
        <v>46166</v>
      </c>
      <c r="B34" s="27" t="n">
        <v>1245.7</v>
      </c>
      <c r="C34" s="27" t="n">
        <v>23547.75</v>
      </c>
      <c r="D34" s="27" t="n">
        <v>1523.9</v>
      </c>
      <c r="E34" s="27" t="n">
        <v>1589</v>
      </c>
      <c r="F34" s="27" t="n">
        <v>7615</v>
      </c>
      <c r="G34" s="27" t="n">
        <v>281.15</v>
      </c>
      <c r="H34" s="72" t="n">
        <f aca="false">B34/B35-1</f>
        <v>-0.0176642220645058</v>
      </c>
      <c r="I34" s="72" t="n">
        <f aca="false">C34/C35-1</f>
        <v>-0.0072325068615009</v>
      </c>
      <c r="J34" s="72" t="n">
        <f aca="false">D34/D35-1</f>
        <v>0.0224085877222409</v>
      </c>
      <c r="K34" s="72" t="n">
        <f aca="false">E34/E35-1</f>
        <v>-0.0411537533188511</v>
      </c>
      <c r="L34" s="72" t="n">
        <f aca="false">F34/F35-1</f>
        <v>0.0347873352357657</v>
      </c>
      <c r="M34" s="72" t="n">
        <f aca="false">G34/G35-1</f>
        <v>-0.0461407972858355</v>
      </c>
    </row>
    <row r="35" customFormat="false" ht="15" hidden="false" customHeight="false" outlineLevel="0" collapsed="false">
      <c r="A35" s="81" t="n">
        <v>46159</v>
      </c>
      <c r="B35" s="27" t="n">
        <v>1268.1</v>
      </c>
      <c r="C35" s="27" t="n">
        <v>23719.3</v>
      </c>
      <c r="D35" s="27" t="n">
        <v>1490.5</v>
      </c>
      <c r="E35" s="27" t="n">
        <v>1657.2</v>
      </c>
      <c r="F35" s="27" t="n">
        <v>7359</v>
      </c>
      <c r="G35" s="27" t="n">
        <v>294.75</v>
      </c>
      <c r="H35" s="72" t="n">
        <f aca="false">B35/B36-1</f>
        <v>0.0303892093930283</v>
      </c>
      <c r="I35" s="72" t="n">
        <f aca="false">C35/C36-1</f>
        <v>0.00320595512508715</v>
      </c>
      <c r="J35" s="72" t="n">
        <f aca="false">D35/D36-1</f>
        <v>-0.0565261425496898</v>
      </c>
      <c r="K35" s="72" t="n">
        <f aca="false">E35/E36-1</f>
        <v>-0.00048250904704461</v>
      </c>
      <c r="L35" s="72" t="n">
        <f aca="false">F35/F36-1</f>
        <v>-0.131835073438329</v>
      </c>
      <c r="M35" s="72" t="n">
        <f aca="false">G35/G36-1</f>
        <v>-0.0238450074515648</v>
      </c>
    </row>
    <row r="36" customFormat="false" ht="15" hidden="false" customHeight="false" outlineLevel="0" collapsed="false">
      <c r="A36" s="81" t="n">
        <v>46152</v>
      </c>
      <c r="B36" s="27" t="n">
        <v>1230.7</v>
      </c>
      <c r="C36" s="27" t="n">
        <v>23643.5</v>
      </c>
      <c r="D36" s="27" t="n">
        <v>1579.8</v>
      </c>
      <c r="E36" s="27" t="n">
        <v>1658</v>
      </c>
      <c r="F36" s="27" t="n">
        <v>8476.5</v>
      </c>
      <c r="G36" s="27" t="n">
        <v>301.95</v>
      </c>
      <c r="H36" s="72" t="n">
        <f aca="false">B36/B37-1</f>
        <v>-0.0710295893719806</v>
      </c>
      <c r="I36" s="72" t="n">
        <f aca="false">C36/C37-1</f>
        <v>-0.0220320439772256</v>
      </c>
      <c r="J36" s="72" t="n">
        <f aca="false">D36/D37-1</f>
        <v>0.0494917956553511</v>
      </c>
      <c r="K36" s="72" t="n">
        <f aca="false">E36/E37-1</f>
        <v>-0.0205576559546313</v>
      </c>
      <c r="L36" s="72" t="n">
        <f aca="false">F36/F37-1</f>
        <v>-0.0394356620771715</v>
      </c>
      <c r="M36" s="72" t="n">
        <f aca="false">G36/G37-1</f>
        <v>0.0294919877258779</v>
      </c>
    </row>
    <row r="37" customFormat="false" ht="15" hidden="false" customHeight="false" outlineLevel="0" collapsed="false">
      <c r="A37" s="81" t="n">
        <v>46145</v>
      </c>
      <c r="B37" s="27" t="n">
        <v>1324.8</v>
      </c>
      <c r="C37" s="27" t="n">
        <v>24176.15</v>
      </c>
      <c r="D37" s="27" t="n">
        <v>1505.3</v>
      </c>
      <c r="E37" s="27" t="n">
        <v>1692.8</v>
      </c>
      <c r="F37" s="27" t="n">
        <v>8824.5</v>
      </c>
      <c r="G37" s="27" t="n">
        <v>293.3</v>
      </c>
      <c r="H37" s="72" t="n">
        <f aca="false">B37/B38-1</f>
        <v>-0.0738255033557048</v>
      </c>
      <c r="I37" s="72" t="n">
        <f aca="false">C37/C38-1</f>
        <v>0.00744242641436332</v>
      </c>
      <c r="J37" s="72" t="n">
        <f aca="false">D37/D38-1</f>
        <v>-0.0550533584431889</v>
      </c>
      <c r="K37" s="72" t="n">
        <f aca="false">E37/E38-1</f>
        <v>-0.049522740033689</v>
      </c>
      <c r="L37" s="72" t="n">
        <f aca="false">F37/F38-1</f>
        <v>0.0997632103688932</v>
      </c>
      <c r="M37" s="72" t="n">
        <f aca="false">G37/G38-1</f>
        <v>0.0768835364958143</v>
      </c>
    </row>
    <row r="38" customFormat="false" ht="15" hidden="false" customHeight="false" outlineLevel="0" collapsed="false">
      <c r="A38" s="81" t="n">
        <v>46138</v>
      </c>
      <c r="B38" s="27" t="n">
        <v>1430.4</v>
      </c>
      <c r="C38" s="27" t="n">
        <v>23997.55</v>
      </c>
      <c r="D38" s="27" t="n">
        <v>1593</v>
      </c>
      <c r="E38" s="27" t="n">
        <v>1781</v>
      </c>
      <c r="F38" s="27" t="n">
        <v>8024</v>
      </c>
      <c r="G38" s="27" t="n">
        <v>272.36</v>
      </c>
      <c r="H38" s="72" t="n">
        <f aca="false">B38/B39-1</f>
        <v>-0.0229508196721311</v>
      </c>
      <c r="I38" s="72" t="n">
        <f aca="false">C38/C39-1</f>
        <v>0.00416772149912426</v>
      </c>
      <c r="J38" s="72" t="n">
        <f aca="false">D38/D39-1</f>
        <v>0.00956968122187707</v>
      </c>
      <c r="K38" s="72" t="n">
        <f aca="false">E38/E39-1</f>
        <v>-0.0205675318961726</v>
      </c>
      <c r="L38" s="72" t="n">
        <f aca="false">F38/F39-1</f>
        <v>0.0348874701747597</v>
      </c>
      <c r="M38" s="72" t="n">
        <f aca="false">G38/G39-1</f>
        <v>0.088438636454462</v>
      </c>
    </row>
    <row r="39" customFormat="false" ht="15" hidden="false" customHeight="false" outlineLevel="0" collapsed="false">
      <c r="A39" s="81" t="n">
        <v>46131</v>
      </c>
      <c r="B39" s="27" t="n">
        <v>1464</v>
      </c>
      <c r="C39" s="27" t="n">
        <v>23897.95</v>
      </c>
      <c r="D39" s="27" t="n">
        <v>1577.9</v>
      </c>
      <c r="E39" s="27" t="n">
        <v>1818.4</v>
      </c>
      <c r="F39" s="27" t="n">
        <v>7753.5</v>
      </c>
      <c r="G39" s="27" t="n">
        <v>250.23</v>
      </c>
      <c r="H39" s="72" t="n">
        <f aca="false">B39/B40-1</f>
        <v>0.0165960697173808</v>
      </c>
      <c r="I39" s="72" t="n">
        <f aca="false">C39/C40-1</f>
        <v>-0.0187077448667647</v>
      </c>
      <c r="J39" s="72" t="n">
        <f aca="false">D39/D40-1</f>
        <v>-0.000506746056882168</v>
      </c>
      <c r="K39" s="72" t="n">
        <f aca="false">E39/E40-1</f>
        <v>-0.0255613311183751</v>
      </c>
      <c r="L39" s="72" t="n">
        <f aca="false">F39/F40-1</f>
        <v>-0.0257586228560659</v>
      </c>
      <c r="M39" s="72" t="n">
        <f aca="false">G39/G40-1</f>
        <v>-0.0429145152036718</v>
      </c>
    </row>
    <row r="40" customFormat="false" ht="15" hidden="false" customHeight="false" outlineLevel="0" collapsed="false">
      <c r="A40" s="81" t="n">
        <v>46124</v>
      </c>
      <c r="B40" s="27" t="n">
        <v>1440.1</v>
      </c>
      <c r="C40" s="27" t="n">
        <v>24353.55</v>
      </c>
      <c r="D40" s="27" t="n">
        <v>1578.7</v>
      </c>
      <c r="E40" s="27" t="n">
        <v>1866.1</v>
      </c>
      <c r="F40" s="27" t="n">
        <v>7958.5</v>
      </c>
      <c r="G40" s="27" t="n">
        <v>261.45</v>
      </c>
      <c r="H40" s="72" t="n">
        <f aca="false">B40/B41-1</f>
        <v>0.0946336272423229</v>
      </c>
      <c r="I40" s="72" t="n">
        <f aca="false">C40/C41-1</f>
        <v>0.0125963593423866</v>
      </c>
      <c r="J40" s="72" t="n">
        <f aca="false">D40/D41-1</f>
        <v>0.0683494620017595</v>
      </c>
      <c r="K40" s="72" t="n">
        <f aca="false">E40/E41-1</f>
        <v>0.104201183431953</v>
      </c>
      <c r="L40" s="72" t="n">
        <f aca="false">F40/F41-1</f>
        <v>0.0984817115251897</v>
      </c>
      <c r="M40" s="72" t="n">
        <f aca="false">G40/G41-1</f>
        <v>0.0816233658778751</v>
      </c>
    </row>
    <row r="41" customFormat="false" ht="15" hidden="false" customHeight="false" outlineLevel="0" collapsed="false">
      <c r="A41" s="81" t="n">
        <v>46117</v>
      </c>
      <c r="B41" s="27" t="n">
        <v>1315.6</v>
      </c>
      <c r="C41" s="27" t="n">
        <v>24050.6</v>
      </c>
      <c r="D41" s="27" t="n">
        <v>1477.7</v>
      </c>
      <c r="E41" s="27" t="n">
        <v>1690</v>
      </c>
      <c r="F41" s="27" t="n">
        <v>7245</v>
      </c>
      <c r="G41" s="27" t="n">
        <v>241.72</v>
      </c>
      <c r="H41" s="72" t="n">
        <f aca="false">B41/B42-1</f>
        <v>0.0649182451028005</v>
      </c>
      <c r="I41" s="72" t="n">
        <f aca="false">C41/C42-1</f>
        <v>0.0588867217596893</v>
      </c>
      <c r="J41" s="72" t="n">
        <f aca="false">D41/D42-1</f>
        <v>0.120488322717622</v>
      </c>
      <c r="K41" s="72" t="n">
        <f aca="false">E41/E42-1</f>
        <v>0.105803834325721</v>
      </c>
      <c r="L41" s="72" t="n">
        <f aca="false">F41/F42-1</f>
        <v>0.153386929873438</v>
      </c>
      <c r="M41" s="72" t="n">
        <f aca="false">G41/G42-1</f>
        <v>0.0423008925876418</v>
      </c>
    </row>
    <row r="42" customFormat="false" ht="15" hidden="false" customHeight="false" outlineLevel="0" collapsed="false">
      <c r="A42" s="81" t="n">
        <v>46110</v>
      </c>
      <c r="B42" s="27" t="n">
        <v>1235.4</v>
      </c>
      <c r="C42" s="27" t="n">
        <v>22713.1</v>
      </c>
      <c r="D42" s="27" t="n">
        <v>1318.8</v>
      </c>
      <c r="E42" s="27" t="n">
        <v>1528.3</v>
      </c>
      <c r="F42" s="27" t="n">
        <v>6281.5</v>
      </c>
      <c r="G42" s="27" t="n">
        <v>231.91</v>
      </c>
      <c r="H42" s="72" t="n">
        <f aca="false">B42/B43-1</f>
        <v>-0.0659307424769392</v>
      </c>
      <c r="I42" s="72" t="n">
        <f aca="false">C42/C43-1</f>
        <v>-0.00466704061420886</v>
      </c>
      <c r="J42" s="72" t="n">
        <f aca="false">D42/D43-1</f>
        <v>-0.141462144391641</v>
      </c>
      <c r="K42" s="72" t="n">
        <f aca="false">E42/E43-1</f>
        <v>-0.0876910219675263</v>
      </c>
      <c r="L42" s="72" t="n">
        <f aca="false">F42/F43-1</f>
        <v>-0.0485458951832778</v>
      </c>
      <c r="M42" s="72" t="n">
        <f aca="false">G42/G43-1</f>
        <v>-0.00167886353852786</v>
      </c>
    </row>
    <row r="43" customFormat="false" ht="15" hidden="false" customHeight="false" outlineLevel="0" collapsed="false">
      <c r="A43" s="81" t="n">
        <v>46103</v>
      </c>
      <c r="B43" s="27" t="n">
        <v>1322.6</v>
      </c>
      <c r="C43" s="27" t="n">
        <v>22819.6</v>
      </c>
      <c r="D43" s="27" t="n">
        <v>1536.1</v>
      </c>
      <c r="E43" s="27" t="n">
        <v>1675.2</v>
      </c>
      <c r="F43" s="27" t="n">
        <v>6602</v>
      </c>
      <c r="G43" s="27" t="n">
        <v>232.3</v>
      </c>
      <c r="H43" s="72" t="n">
        <f aca="false">B43/B44-1</f>
        <v>-0.00143450358625907</v>
      </c>
      <c r="I43" s="72" t="n">
        <f aca="false">C43/C44-1</f>
        <v>-0.0127582253563781</v>
      </c>
      <c r="J43" s="72" t="n">
        <f aca="false">D43/D44-1</f>
        <v>-0.0151311149580048</v>
      </c>
      <c r="K43" s="72" t="n">
        <f aca="false">E43/E44-1</f>
        <v>-0.0195481680908345</v>
      </c>
      <c r="L43" s="72" t="n">
        <f aca="false">F43/F44-1</f>
        <v>-0.0078893981516267</v>
      </c>
      <c r="M43" s="72" t="n">
        <f aca="false">G43/G44-1</f>
        <v>-0.044622660908904</v>
      </c>
    </row>
    <row r="44" customFormat="false" ht="15" hidden="false" customHeight="false" outlineLevel="0" collapsed="false">
      <c r="A44" s="81" t="n">
        <v>46096</v>
      </c>
      <c r="B44" s="27" t="n">
        <v>1324.5</v>
      </c>
      <c r="C44" s="27" t="n">
        <v>23114.5</v>
      </c>
      <c r="D44" s="27" t="n">
        <v>1559.7</v>
      </c>
      <c r="E44" s="27" t="n">
        <v>1708.6</v>
      </c>
      <c r="F44" s="27" t="n">
        <v>6654.5</v>
      </c>
      <c r="G44" s="27" t="n">
        <v>243.15</v>
      </c>
      <c r="H44" s="72" t="n">
        <f aca="false">B44/B45-1</f>
        <v>-0.0634280865507001</v>
      </c>
      <c r="I44" s="72" t="n">
        <f aca="false">C44/C45-1</f>
        <v>-0.00158091840128538</v>
      </c>
      <c r="J44" s="72" t="n">
        <f aca="false">D44/D45-1</f>
        <v>-0.00147247119078098</v>
      </c>
      <c r="K44" s="72" t="n">
        <f aca="false">E44/E45-1</f>
        <v>-0.067968579533057</v>
      </c>
      <c r="L44" s="72" t="n">
        <f aca="false">F44/F45-1</f>
        <v>0.0323456407074154</v>
      </c>
      <c r="M44" s="72" t="n">
        <f aca="false">G44/G45-1</f>
        <v>-0.0125888324873096</v>
      </c>
    </row>
    <row r="45" customFormat="false" ht="15" hidden="false" customHeight="false" outlineLevel="0" collapsed="false">
      <c r="A45" s="81" t="n">
        <v>46089</v>
      </c>
      <c r="B45" s="27" t="n">
        <v>1414.2</v>
      </c>
      <c r="C45" s="27" t="n">
        <v>23151.1</v>
      </c>
      <c r="D45" s="27" t="n">
        <v>1562</v>
      </c>
      <c r="E45" s="27" t="n">
        <v>1833.2</v>
      </c>
      <c r="F45" s="27" t="n">
        <v>6446</v>
      </c>
      <c r="G45" s="27" t="n">
        <v>246.25</v>
      </c>
      <c r="H45" s="72" t="n">
        <f aca="false">B45/B46-1</f>
        <v>-0.0434253246753247</v>
      </c>
      <c r="I45" s="72" t="n">
        <f aca="false">C45/C46-1</f>
        <v>-0.053142171207483</v>
      </c>
      <c r="J45" s="72" t="n">
        <f aca="false">D45/D46-1</f>
        <v>-0.0112046591124897</v>
      </c>
      <c r="K45" s="72" t="n">
        <f aca="false">E45/E46-1</f>
        <v>-0.0591737233769566</v>
      </c>
      <c r="L45" s="72" t="n">
        <f aca="false">F45/F46-1</f>
        <v>-0.181200381073357</v>
      </c>
      <c r="M45" s="72" t="n">
        <f aca="false">G45/G46-1</f>
        <v>-0.00705645161290325</v>
      </c>
    </row>
    <row r="46" customFormat="false" ht="15" hidden="false" customHeight="false" outlineLevel="0" collapsed="false">
      <c r="A46" s="81" t="n">
        <v>46082</v>
      </c>
      <c r="B46" s="27" t="n">
        <v>1478.4</v>
      </c>
      <c r="C46" s="27" t="n">
        <v>24450.45</v>
      </c>
      <c r="D46" s="27" t="n">
        <v>1579.7</v>
      </c>
      <c r="E46" s="27" t="n">
        <v>1948.5</v>
      </c>
      <c r="F46" s="27" t="n">
        <v>7872.5</v>
      </c>
      <c r="G46" s="27" t="n">
        <v>248</v>
      </c>
      <c r="H46" s="72" t="n">
        <f aca="false">B46/B47-1</f>
        <v>-0.0530967783257541</v>
      </c>
      <c r="I46" s="72" t="n">
        <f aca="false">C46/C47-1</f>
        <v>-0.0289213281887631</v>
      </c>
      <c r="J46" s="72" t="n">
        <f aca="false">D46/D47-1</f>
        <v>-0.00585273757079918</v>
      </c>
      <c r="K46" s="72" t="n">
        <f aca="false">E46/E47-1</f>
        <v>0.00376056047805484</v>
      </c>
      <c r="L46" s="72" t="n">
        <f aca="false">F46/F47-1</f>
        <v>-0.012728868823677</v>
      </c>
      <c r="M46" s="72" t="n">
        <f aca="false">G46/G47-1</f>
        <v>-0.0382005041690906</v>
      </c>
    </row>
    <row r="47" customFormat="false" ht="15" hidden="false" customHeight="false" outlineLevel="0" collapsed="false">
      <c r="A47" s="81" t="n">
        <v>46075</v>
      </c>
      <c r="B47" s="27" t="n">
        <v>1561.3</v>
      </c>
      <c r="C47" s="27" t="n">
        <v>25178.65</v>
      </c>
      <c r="D47" s="27" t="n">
        <v>1589</v>
      </c>
      <c r="E47" s="27" t="n">
        <v>1941.2</v>
      </c>
      <c r="F47" s="27" t="n">
        <v>7974</v>
      </c>
      <c r="G47" s="27" t="n">
        <v>257.85</v>
      </c>
      <c r="H47" s="72" t="n">
        <f aca="false">B47/B48-1</f>
        <v>0.00930894046156827</v>
      </c>
      <c r="I47" s="72" t="n">
        <f aca="false">C47/C48-1</f>
        <v>-0.0153531798406413</v>
      </c>
      <c r="J47" s="72" t="n">
        <f aca="false">D47/D48-1</f>
        <v>0.025756891098057</v>
      </c>
      <c r="K47" s="72" t="n">
        <f aca="false">E47/E48-1</f>
        <v>-0.0138183296078033</v>
      </c>
      <c r="L47" s="72" t="n">
        <f aca="false">F47/F48-1</f>
        <v>0.0422848179857525</v>
      </c>
      <c r="M47" s="72" t="n">
        <f aca="false">G47/G48-1</f>
        <v>-0.0285574351053007</v>
      </c>
    </row>
    <row r="48" customFormat="false" ht="15" hidden="false" customHeight="false" outlineLevel="0" collapsed="false">
      <c r="A48" s="81" t="n">
        <v>46068</v>
      </c>
      <c r="B48" s="27" t="n">
        <v>1546.9</v>
      </c>
      <c r="C48" s="27" t="n">
        <v>25571.25</v>
      </c>
      <c r="D48" s="27" t="n">
        <v>1549.1</v>
      </c>
      <c r="E48" s="27" t="n">
        <v>1968.4</v>
      </c>
      <c r="F48" s="27" t="n">
        <v>7650.5</v>
      </c>
      <c r="G48" s="27" t="n">
        <v>265.43</v>
      </c>
      <c r="H48" s="72" t="n">
        <f aca="false">B48/B49-1</f>
        <v>0.0140946636947685</v>
      </c>
      <c r="I48" s="72" t="n">
        <f aca="false">C48/C49-1</f>
        <v>0.00393190714181957</v>
      </c>
      <c r="J48" s="72" t="n">
        <f aca="false">D48/D49-1</f>
        <v>0.0250794070937004</v>
      </c>
      <c r="K48" s="72" t="n">
        <f aca="false">E48/E49-1</f>
        <v>-0.0144201882635689</v>
      </c>
      <c r="L48" s="72" t="n">
        <f aca="false">F48/F49-1</f>
        <v>-0.0108604305384964</v>
      </c>
      <c r="M48" s="72" t="n">
        <f aca="false">G48/G49-1</f>
        <v>-0.00781249999999989</v>
      </c>
    </row>
    <row r="49" customFormat="false" ht="15" hidden="false" customHeight="false" outlineLevel="0" collapsed="false">
      <c r="A49" s="81" t="n">
        <v>46061</v>
      </c>
      <c r="B49" s="27" t="n">
        <v>1525.4</v>
      </c>
      <c r="C49" s="27" t="n">
        <v>25471.1</v>
      </c>
      <c r="D49" s="27" t="n">
        <v>1511.2</v>
      </c>
      <c r="E49" s="27" t="n">
        <v>1997.2</v>
      </c>
      <c r="F49" s="27" t="n">
        <v>7734.5</v>
      </c>
      <c r="G49" s="27" t="n">
        <v>267.52</v>
      </c>
      <c r="H49" s="72" t="n">
        <f aca="false">B49/B50-1</f>
        <v>0.0629965156794425</v>
      </c>
      <c r="I49" s="72" t="n">
        <f aca="false">C49/C50-1</f>
        <v>-0.00866360236166852</v>
      </c>
      <c r="J49" s="72" t="n">
        <f aca="false">D49/D50-1</f>
        <v>0.0055895661431995</v>
      </c>
      <c r="K49" s="72" t="n">
        <f aca="false">E49/E50-1</f>
        <v>0.0618321016534638</v>
      </c>
      <c r="L49" s="72" t="n">
        <f aca="false">F49/F50-1</f>
        <v>0.164834337349398</v>
      </c>
      <c r="M49" s="72" t="n">
        <f aca="false">G49/G50-1</f>
        <v>0.091784679427009</v>
      </c>
    </row>
    <row r="50" customFormat="false" ht="15" hidden="false" customHeight="false" outlineLevel="0" collapsed="false">
      <c r="A50" s="81" t="n">
        <v>46054</v>
      </c>
      <c r="B50" s="27" t="n">
        <v>1435</v>
      </c>
      <c r="C50" s="27" t="n">
        <v>25693.7</v>
      </c>
      <c r="D50" s="27" t="n">
        <v>1502.8</v>
      </c>
      <c r="E50" s="27" t="n">
        <v>1880.9</v>
      </c>
      <c r="F50" s="27" t="n">
        <v>6640</v>
      </c>
      <c r="G50" s="27" t="n">
        <v>245.03</v>
      </c>
      <c r="H50" s="72" t="n">
        <f aca="false">B50/B51-1</f>
        <v>0.0806536636794939</v>
      </c>
      <c r="I50" s="72" t="n">
        <f aca="false">C50/C51-1</f>
        <v>0.0147330341045746</v>
      </c>
      <c r="J50" s="72" t="n">
        <f aca="false">D50/D51-1</f>
        <v>0.0274853001504172</v>
      </c>
      <c r="K50" s="72" t="n">
        <f aca="false">E50/E51-1</f>
        <v>0.0352248335076228</v>
      </c>
      <c r="L50" s="72" t="n">
        <f aca="false">F50/F51-1</f>
        <v>0.161651504548635</v>
      </c>
      <c r="M50" s="72" t="n">
        <f aca="false">G50/G51-1</f>
        <v>0.106480018062768</v>
      </c>
    </row>
    <row r="51" customFormat="false" ht="15" hidden="false" customHeight="false" outlineLevel="0" collapsed="false">
      <c r="A51" s="81" t="n">
        <v>46047</v>
      </c>
      <c r="B51" s="27" t="n">
        <v>1327.9</v>
      </c>
      <c r="C51" s="27" t="n">
        <v>25320.65</v>
      </c>
      <c r="D51" s="27" t="n">
        <v>1462.6</v>
      </c>
      <c r="E51" s="27" t="n">
        <v>1816.9</v>
      </c>
      <c r="F51" s="27" t="n">
        <v>5716</v>
      </c>
      <c r="G51" s="27" t="n">
        <v>221.45</v>
      </c>
      <c r="H51" s="72" t="n">
        <f aca="false">B51/B52-1</f>
        <v>0.00950281283259846</v>
      </c>
      <c r="I51" s="72" t="n">
        <f aca="false">C51/C52-1</f>
        <v>0.0108588686416233</v>
      </c>
      <c r="J51" s="72" t="n">
        <f aca="false">D51/D52-1</f>
        <v>0.0447889134938209</v>
      </c>
      <c r="K51" s="72" t="n">
        <f aca="false">E51/E52-1</f>
        <v>0.0699605441375657</v>
      </c>
      <c r="L51" s="72" t="n">
        <f aca="false">F51/F52-1</f>
        <v>0.0270415955439762</v>
      </c>
      <c r="M51" s="72" t="n">
        <f aca="false">G51/G52-1</f>
        <v>-0.0170883266755438</v>
      </c>
    </row>
    <row r="52" customFormat="false" ht="15" hidden="false" customHeight="false" outlineLevel="0" collapsed="false">
      <c r="A52" s="81" t="n">
        <v>46040</v>
      </c>
      <c r="B52" s="27" t="n">
        <v>1315.4</v>
      </c>
      <c r="C52" s="27" t="n">
        <v>25048.65</v>
      </c>
      <c r="D52" s="27" t="n">
        <v>1399.9</v>
      </c>
      <c r="E52" s="27" t="n">
        <v>1698.1</v>
      </c>
      <c r="F52" s="27" t="n">
        <v>5565.5</v>
      </c>
      <c r="G52" s="27" t="n">
        <v>225.3</v>
      </c>
      <c r="H52" s="72" t="n">
        <f aca="false">B52/B53-1</f>
        <v>-0.0680175712058948</v>
      </c>
      <c r="I52" s="72" t="n">
        <f aca="false">C52/C53-1</f>
        <v>-0.0251300383158164</v>
      </c>
      <c r="J52" s="72" t="n">
        <f aca="false">D52/D53-1</f>
        <v>0.00813769264006936</v>
      </c>
      <c r="K52" s="72" t="n">
        <f aca="false">E52/E53-1</f>
        <v>-0.0597973534134323</v>
      </c>
      <c r="L52" s="72" t="n">
        <f aca="false">F52/F53-1</f>
        <v>-0.0943043124491456</v>
      </c>
      <c r="M52" s="72" t="n">
        <f aca="false">G52/G53-1</f>
        <v>-0.103105095541401</v>
      </c>
    </row>
    <row r="53" customFormat="false" ht="15" hidden="false" customHeight="false" outlineLevel="0" collapsed="false">
      <c r="A53" s="81" t="n">
        <v>46033</v>
      </c>
      <c r="B53" s="27" t="n">
        <v>1411.4</v>
      </c>
      <c r="C53" s="27" t="n">
        <v>25694.35</v>
      </c>
      <c r="D53" s="27" t="n">
        <v>1388.6</v>
      </c>
      <c r="E53" s="27" t="n">
        <v>1806.1</v>
      </c>
      <c r="F53" s="27" t="n">
        <v>6145</v>
      </c>
      <c r="G53" s="27" t="n">
        <v>251.2</v>
      </c>
      <c r="H53" s="72" t="n">
        <f aca="false">B53/B54-1</f>
        <v>-0.0377692937005726</v>
      </c>
      <c r="I53" s="72" t="n">
        <f aca="false">C53/C54-1</f>
        <v>0.000430240662220083</v>
      </c>
      <c r="J53" s="72" t="n">
        <f aca="false">D53/D54-1</f>
        <v>-0.0104753082020951</v>
      </c>
      <c r="K53" s="72" t="n">
        <f aca="false">E53/E54-1</f>
        <v>0.00266474213068335</v>
      </c>
      <c r="L53" s="72" t="n">
        <f aca="false">F53/F54-1</f>
        <v>-0.0291492218974643</v>
      </c>
      <c r="M53" s="72" t="n">
        <f aca="false">G53/G54-1</f>
        <v>-0.00455716267089368</v>
      </c>
    </row>
    <row r="54" customFormat="false" ht="15" hidden="false" customHeight="false" outlineLevel="0" collapsed="false">
      <c r="A54" s="81" t="n">
        <v>46026</v>
      </c>
      <c r="B54" s="27" t="n">
        <v>1466.8</v>
      </c>
      <c r="C54" s="27" t="n">
        <v>25683.3</v>
      </c>
      <c r="D54" s="27" t="n">
        <v>1403.3</v>
      </c>
      <c r="E54" s="27" t="n">
        <v>1801.3</v>
      </c>
      <c r="F54" s="27" t="n">
        <v>6329.5</v>
      </c>
      <c r="G54" s="27" t="n">
        <v>252.35</v>
      </c>
      <c r="H54" s="72" t="n">
        <f aca="false">B54/B55-1</f>
        <v>0.0255908264578379</v>
      </c>
      <c r="I54" s="72" t="n">
        <f aca="false">C54/C55-1</f>
        <v>-0.024507616256877</v>
      </c>
      <c r="J54" s="72" t="n">
        <f aca="false">D54/D55-1</f>
        <v>-0.0539975731427802</v>
      </c>
      <c r="K54" s="72" t="n">
        <f aca="false">E54/E55-1</f>
        <v>-0.00814933098397663</v>
      </c>
      <c r="L54" s="72" t="n">
        <f aca="false">F54/F55-1</f>
        <v>-0.0236020053991516</v>
      </c>
      <c r="M54" s="72" t="n">
        <f aca="false">G54/G55-1</f>
        <v>0.000991669972233211</v>
      </c>
    </row>
    <row r="55" customFormat="false" ht="15" hidden="false" customHeight="false" outlineLevel="0" collapsed="false">
      <c r="A55" s="81" t="n">
        <v>46019</v>
      </c>
      <c r="B55" s="27" t="n">
        <v>1430.2</v>
      </c>
      <c r="C55" s="27" t="n">
        <v>26328.55</v>
      </c>
      <c r="D55" s="27" t="n">
        <v>1483.4</v>
      </c>
      <c r="E55" s="27" t="n">
        <v>1816.1</v>
      </c>
      <c r="F55" s="27" t="n">
        <v>6482.5</v>
      </c>
      <c r="G55" s="27" t="n">
        <v>252.1</v>
      </c>
      <c r="H55" s="72" t="n">
        <f aca="false">B55/B56-1</f>
        <v>0.0355513720947072</v>
      </c>
      <c r="I55" s="72" t="n">
        <f aca="false">C55/C56-1</f>
        <v>0.0109917326810611</v>
      </c>
      <c r="J55" s="72" t="n">
        <f aca="false">D55/D56-1</f>
        <v>-0.0254894232032584</v>
      </c>
      <c r="K55" s="72" t="n">
        <f aca="false">E55/E56-1</f>
        <v>0.0295935143715629</v>
      </c>
      <c r="L55" s="72" t="n">
        <f aca="false">F55/F56-1</f>
        <v>-0.0254810583283223</v>
      </c>
      <c r="M55" s="72" t="n">
        <f aca="false">G55/G56-1</f>
        <v>-0.0184932840179094</v>
      </c>
    </row>
    <row r="56" customFormat="false" ht="15" hidden="false" customHeight="false" outlineLevel="0" collapsed="false">
      <c r="A56" s="81" t="n">
        <v>46012</v>
      </c>
      <c r="B56" s="27" t="n">
        <v>1381.1</v>
      </c>
      <c r="C56" s="27" t="n">
        <v>26042.3</v>
      </c>
      <c r="D56" s="27" t="n">
        <v>1522.2</v>
      </c>
      <c r="E56" s="27" t="n">
        <v>1763.9</v>
      </c>
      <c r="F56" s="27" t="n">
        <v>6652</v>
      </c>
      <c r="G56" s="27" t="n">
        <v>256.85</v>
      </c>
      <c r="H56" s="72" t="n">
        <f aca="false">B56/B57-1</f>
        <v>0.00407124681933846</v>
      </c>
      <c r="I56" s="72" t="n">
        <f aca="false">C56/C57-1</f>
        <v>0.00292300819520608</v>
      </c>
      <c r="J56" s="72" t="n">
        <f aca="false">D56/D57-1</f>
        <v>-0.0349942944085204</v>
      </c>
      <c r="K56" s="72" t="n">
        <f aca="false">E56/E57-1</f>
        <v>-0.00982373414168636</v>
      </c>
      <c r="L56" s="72" t="n">
        <f aca="false">F56/F57-1</f>
        <v>-0.00434066756473583</v>
      </c>
      <c r="M56" s="72" t="n">
        <f aca="false">G56/G57-1</f>
        <v>0.0048904538341159</v>
      </c>
    </row>
    <row r="57" customFormat="false" ht="15" hidden="false" customHeight="false" outlineLevel="0" collapsed="false">
      <c r="A57" s="81" t="n">
        <v>46005</v>
      </c>
      <c r="B57" s="27" t="n">
        <v>1375.5</v>
      </c>
      <c r="C57" s="27" t="n">
        <v>25966.4</v>
      </c>
      <c r="D57" s="27" t="n">
        <v>1577.4</v>
      </c>
      <c r="E57" s="27" t="n">
        <v>1781.4</v>
      </c>
      <c r="F57" s="27" t="n">
        <v>6681</v>
      </c>
      <c r="G57" s="27" t="n">
        <v>255.6</v>
      </c>
      <c r="H57" s="72" t="n">
        <f aca="false">B57/B58-1</f>
        <v>-0.00123438861458036</v>
      </c>
      <c r="I57" s="72" t="n">
        <f aca="false">C57/C58-1</f>
        <v>-0.00309249259510225</v>
      </c>
      <c r="J57" s="72" t="n">
        <f aca="false">D57/D58-1</f>
        <v>0.00369050649020108</v>
      </c>
      <c r="K57" s="72" t="n">
        <f aca="false">E57/E58-1</f>
        <v>-0.0085156119552513</v>
      </c>
      <c r="L57" s="72" t="n">
        <f aca="false">F57/F58-1</f>
        <v>0.00830063386658608</v>
      </c>
      <c r="M57" s="72" t="n">
        <f aca="false">G57/G58-1</f>
        <v>0.00590318772136955</v>
      </c>
    </row>
    <row r="58" customFormat="false" ht="15" hidden="false" customHeight="false" outlineLevel="0" collapsed="false">
      <c r="A58" s="81" t="n">
        <v>45998</v>
      </c>
      <c r="B58" s="27" t="n">
        <v>1377.2</v>
      </c>
      <c r="C58" s="27" t="n">
        <v>26046.95</v>
      </c>
      <c r="D58" s="27" t="n">
        <v>1571.6</v>
      </c>
      <c r="E58" s="27" t="n">
        <v>1796.7</v>
      </c>
      <c r="F58" s="27" t="n">
        <v>6626</v>
      </c>
      <c r="G58" s="27" t="n">
        <v>254.1</v>
      </c>
      <c r="H58" s="72" t="n">
        <f aca="false">B58/B59-1</f>
        <v>0.0378296910324039</v>
      </c>
      <c r="I58" s="72" t="n">
        <f aca="false">C58/C59-1</f>
        <v>-0.0053271825696114</v>
      </c>
      <c r="J58" s="72" t="n">
        <f aca="false">D58/D59-1</f>
        <v>-0.0169512729092388</v>
      </c>
      <c r="K58" s="72" t="n">
        <f aca="false">E58/E59-1</f>
        <v>0.0359202029520296</v>
      </c>
      <c r="L58" s="72" t="n">
        <f aca="false">F58/F59-1</f>
        <v>0.00967619047619039</v>
      </c>
      <c r="M58" s="72" t="n">
        <f aca="false">G58/G59-1</f>
        <v>-0.0230680507497117</v>
      </c>
    </row>
    <row r="59" customFormat="false" ht="15" hidden="false" customHeight="false" outlineLevel="0" collapsed="false">
      <c r="A59" s="81" t="n">
        <v>45991</v>
      </c>
      <c r="B59" s="27" t="n">
        <v>1327</v>
      </c>
      <c r="C59" s="27" t="n">
        <v>26186.45</v>
      </c>
      <c r="D59" s="27" t="n">
        <v>1598.7</v>
      </c>
      <c r="E59" s="27" t="n">
        <v>1734.4</v>
      </c>
      <c r="F59" s="27" t="n">
        <v>6562.5</v>
      </c>
      <c r="G59" s="27" t="n">
        <v>260.1</v>
      </c>
      <c r="H59" s="72" t="n">
        <f aca="false">B59/B60-1</f>
        <v>-0.0358206786311124</v>
      </c>
      <c r="I59" s="72" t="n">
        <f aca="false">C59/C60-1</f>
        <v>-0.000629700091020258</v>
      </c>
      <c r="J59" s="72" t="n">
        <f aca="false">D59/D60-1</f>
        <v>-0.0365214246971614</v>
      </c>
      <c r="K59" s="72" t="n">
        <f aca="false">E59/E60-1</f>
        <v>-0.0175597598278011</v>
      </c>
      <c r="L59" s="72" t="n">
        <f aca="false">F59/F60-1</f>
        <v>-0.0861300654504944</v>
      </c>
      <c r="M59" s="72" t="n">
        <f aca="false">G59/G60-1</f>
        <v>-0.0197851893725268</v>
      </c>
    </row>
    <row r="60" customFormat="false" ht="15" hidden="false" customHeight="false" outlineLevel="0" collapsed="false">
      <c r="A60" s="81" t="n">
        <v>45984</v>
      </c>
      <c r="B60" s="27" t="n">
        <v>1376.3</v>
      </c>
      <c r="C60" s="27" t="n">
        <v>26202.95</v>
      </c>
      <c r="D60" s="27" t="n">
        <v>1659.3</v>
      </c>
      <c r="E60" s="27" t="n">
        <v>1765.4</v>
      </c>
      <c r="F60" s="27" t="n">
        <v>7181</v>
      </c>
      <c r="G60" s="27" t="n">
        <v>265.35</v>
      </c>
      <c r="H60" s="72" t="n">
        <f aca="false">B60/B61-1</f>
        <v>-0.013970482877203</v>
      </c>
      <c r="I60" s="72" t="n">
        <f aca="false">C60/C61-1</f>
        <v>0.00517106123756372</v>
      </c>
      <c r="J60" s="72" t="n">
        <f aca="false">D60/D61-1</f>
        <v>0.0102898197759376</v>
      </c>
      <c r="K60" s="72" t="n">
        <f aca="false">E60/E61-1</f>
        <v>-0.006136350841637</v>
      </c>
      <c r="L60" s="72" t="n">
        <f aca="false">F60/F61-1</f>
        <v>-0.00208449138410227</v>
      </c>
      <c r="M60" s="72" t="n">
        <f aca="false">G60/G61-1</f>
        <v>-0.00748083037217129</v>
      </c>
    </row>
    <row r="61" customFormat="false" ht="15" hidden="false" customHeight="false" outlineLevel="0" collapsed="false">
      <c r="A61" s="81" t="n">
        <v>45977</v>
      </c>
      <c r="B61" s="27" t="n">
        <v>1395.8</v>
      </c>
      <c r="C61" s="27" t="n">
        <v>26068.15</v>
      </c>
      <c r="D61" s="27" t="n">
        <v>1642.4</v>
      </c>
      <c r="E61" s="27" t="n">
        <v>1776.3</v>
      </c>
      <c r="F61" s="27" t="n">
        <v>7196</v>
      </c>
      <c r="G61" s="27" t="n">
        <v>267.35</v>
      </c>
      <c r="H61" s="72" t="n">
        <f aca="false">B61/B62-1</f>
        <v>0.033237101191798</v>
      </c>
      <c r="I61" s="72" t="n">
        <f aca="false">C61/C62-1</f>
        <v>0.00610187938657014</v>
      </c>
      <c r="J61" s="72" t="n">
        <f aca="false">D61/D62-1</f>
        <v>0.0152058350846831</v>
      </c>
      <c r="K61" s="72" t="n">
        <f aca="false">E61/E62-1</f>
        <v>0.0044673150870842</v>
      </c>
      <c r="L61" s="72" t="n">
        <f aca="false">F61/F62-1</f>
        <v>-0.0244034707158352</v>
      </c>
      <c r="M61" s="72" t="n">
        <f aca="false">G61/G62-1</f>
        <v>-0.0318667390910735</v>
      </c>
    </row>
    <row r="62" customFormat="false" ht="15" hidden="false" customHeight="false" outlineLevel="0" collapsed="false">
      <c r="A62" s="81" t="n">
        <v>45970</v>
      </c>
      <c r="B62" s="27" t="n">
        <v>1350.9</v>
      </c>
      <c r="C62" s="27" t="n">
        <v>25910.05</v>
      </c>
      <c r="D62" s="27" t="n">
        <v>1617.8</v>
      </c>
      <c r="E62" s="27" t="n">
        <v>1768.4</v>
      </c>
      <c r="F62" s="27" t="n">
        <v>7376</v>
      </c>
      <c r="G62" s="27" t="n">
        <v>276.15</v>
      </c>
      <c r="H62" s="72" t="n">
        <f aca="false">B62/B63-1</f>
        <v>0.0222474460839954</v>
      </c>
      <c r="I62" s="72" t="n">
        <f aca="false">C62/C63-1</f>
        <v>0.0163873012635187</v>
      </c>
      <c r="J62" s="72" t="n">
        <f aca="false">D62/D63-1</f>
        <v>0.0052193363986579</v>
      </c>
      <c r="K62" s="72" t="n">
        <f aca="false">E62/E63-1</f>
        <v>0.00895760826153946</v>
      </c>
      <c r="L62" s="72" t="n">
        <f aca="false">F62/F63-1</f>
        <v>0.0206171302061713</v>
      </c>
      <c r="M62" s="72" t="n">
        <f aca="false">G62/G63-1</f>
        <v>-0.00360815442900952</v>
      </c>
    </row>
    <row r="63" customFormat="false" ht="15" hidden="false" customHeight="false" outlineLevel="0" collapsed="false">
      <c r="A63" s="81" t="n">
        <v>45963</v>
      </c>
      <c r="B63" s="27" t="n">
        <v>1321.5</v>
      </c>
      <c r="C63" s="27" t="n">
        <v>25492.3</v>
      </c>
      <c r="D63" s="27" t="n">
        <v>1609.4</v>
      </c>
      <c r="E63" s="27" t="n">
        <v>1752.7</v>
      </c>
      <c r="F63" s="27" t="n">
        <v>7227</v>
      </c>
      <c r="G63" s="27" t="n">
        <v>277.15</v>
      </c>
      <c r="H63" s="72" t="n">
        <f aca="false">B63/B64-1</f>
        <v>-0.0448829141370337</v>
      </c>
      <c r="I63" s="72" t="n">
        <f aca="false">C63/C64-1</f>
        <v>-0.0089339517379996</v>
      </c>
      <c r="J63" s="72" t="n">
        <f aca="false">D63/D64-1</f>
        <v>-0.0325799471026688</v>
      </c>
      <c r="K63" s="72" t="n">
        <f aca="false">E63/E64-1</f>
        <v>-0.0953339527201405</v>
      </c>
      <c r="L63" s="72" t="n">
        <f aca="false">F63/F64-1</f>
        <v>-0.100727928824737</v>
      </c>
      <c r="M63" s="72" t="n">
        <f aca="false">G63/G64-1</f>
        <v>-0.0196321188539088</v>
      </c>
    </row>
    <row r="64" customFormat="false" ht="15" hidden="false" customHeight="false" outlineLevel="0" collapsed="false">
      <c r="A64" s="81" t="n">
        <v>45956</v>
      </c>
      <c r="B64" s="27" t="n">
        <v>1383.6</v>
      </c>
      <c r="C64" s="27" t="n">
        <v>25722.1</v>
      </c>
      <c r="D64" s="27" t="n">
        <v>1663.6</v>
      </c>
      <c r="E64" s="27" t="n">
        <v>1937.4</v>
      </c>
      <c r="F64" s="27" t="n">
        <v>8036.5</v>
      </c>
      <c r="G64" s="27" t="n">
        <v>282.7</v>
      </c>
      <c r="H64" s="72" t="n">
        <f aca="false">B64/B65-1</f>
        <v>-0.0400999028722077</v>
      </c>
      <c r="I64" s="72" t="n">
        <f aca="false">C64/C65-1</f>
        <v>-0.00283192770734042</v>
      </c>
      <c r="J64" s="72" t="n">
        <f aca="false">D64/D65-1</f>
        <v>0.0090374234245163</v>
      </c>
      <c r="K64" s="72" t="n">
        <f aca="false">E64/E65-1</f>
        <v>-0.0341974077766699</v>
      </c>
      <c r="L64" s="72" t="n">
        <f aca="false">F64/F65-1</f>
        <v>-0.0342486330589437</v>
      </c>
      <c r="M64" s="72" t="n">
        <f aca="false">G64/G65-1</f>
        <v>-0.0363047554116245</v>
      </c>
    </row>
    <row r="65" customFormat="false" ht="15" hidden="false" customHeight="false" outlineLevel="0" collapsed="false">
      <c r="A65" s="81" t="n">
        <v>45949</v>
      </c>
      <c r="B65" s="27" t="n">
        <v>1441.4</v>
      </c>
      <c r="C65" s="27" t="n">
        <v>25795.15</v>
      </c>
      <c r="D65" s="27" t="n">
        <v>1648.7</v>
      </c>
      <c r="E65" s="27" t="n">
        <v>2006</v>
      </c>
      <c r="F65" s="27" t="n">
        <v>8321.5</v>
      </c>
      <c r="G65" s="27" t="n">
        <v>293.35</v>
      </c>
      <c r="H65" s="72" t="n">
        <f aca="false">B65/B66-1</f>
        <v>0.0103743165568486</v>
      </c>
      <c r="I65" s="72" t="n">
        <f aca="false">C65/C66-1</f>
        <v>0.00331779454178083</v>
      </c>
      <c r="K65" s="72" t="n">
        <f aca="false">E65/E66-1</f>
        <v>0.0175509789996957</v>
      </c>
      <c r="L65" s="72" t="n">
        <f aca="false">F65/F66-1</f>
        <v>0.00872780168495058</v>
      </c>
      <c r="M65" s="72" t="n">
        <f aca="false">G65/G66-1</f>
        <v>0.0203478260869565</v>
      </c>
    </row>
    <row r="66" customFormat="false" ht="15" hidden="false" customHeight="false" outlineLevel="0" collapsed="false">
      <c r="A66" s="81" t="n">
        <v>45942</v>
      </c>
      <c r="B66" s="27" t="n">
        <v>1426.6</v>
      </c>
      <c r="C66" s="27" t="n">
        <v>25709.85</v>
      </c>
      <c r="E66" s="27" t="n">
        <v>1971.4</v>
      </c>
      <c r="F66" s="27" t="n">
        <v>8249.5</v>
      </c>
      <c r="G66" s="27" t="n">
        <v>287.5</v>
      </c>
      <c r="H66" s="72" t="n">
        <f aca="false">B66/B67-1</f>
        <v>0.00656177238411071</v>
      </c>
      <c r="I66" s="72" t="n">
        <f aca="false">C66/C67-1</f>
        <v>0.0167883774596753</v>
      </c>
      <c r="K66" s="72" t="n">
        <f aca="false">E66/E67-1</f>
        <v>0.0114411779795804</v>
      </c>
      <c r="L66" s="72" t="n">
        <f aca="false">F66/F67-1</f>
        <v>-0.00422475707646808</v>
      </c>
      <c r="M66" s="72" t="n">
        <f aca="false">G66/G67-1</f>
        <v>-0.00086880973066894</v>
      </c>
    </row>
    <row r="67" customFormat="false" ht="15" hidden="false" customHeight="false" outlineLevel="0" collapsed="false">
      <c r="A67" s="81" t="n">
        <v>45935</v>
      </c>
      <c r="B67" s="27" t="n">
        <v>1417.3</v>
      </c>
      <c r="C67" s="27" t="n">
        <v>25285.35</v>
      </c>
      <c r="E67" s="27" t="n">
        <v>1949.1</v>
      </c>
      <c r="F67" s="27" t="n">
        <v>8284.5</v>
      </c>
      <c r="G67" s="27" t="n">
        <v>287.75</v>
      </c>
      <c r="H67" s="72" t="n">
        <f aca="false">B67/B68-1</f>
        <v>0.0418259335489561</v>
      </c>
      <c r="I67" s="72" t="n">
        <f aca="false">C67/C68-1</f>
        <v>0.0157104552256042</v>
      </c>
      <c r="K67" s="72" t="n">
        <f aca="false">E67/E68-1</f>
        <v>0.0262742207245155</v>
      </c>
      <c r="L67" s="72" t="n">
        <f aca="false">F67/F68-1</f>
        <v>0.00852151682999569</v>
      </c>
      <c r="M67" s="72" t="n">
        <f aca="false">G67/G68-1</f>
        <v>-0.0252371273712737</v>
      </c>
    </row>
    <row r="68" customFormat="false" ht="15" hidden="false" customHeight="false" outlineLevel="0" collapsed="false">
      <c r="A68" s="81" t="n">
        <v>45928</v>
      </c>
      <c r="B68" s="27" t="n">
        <v>1360.4</v>
      </c>
      <c r="C68" s="27" t="n">
        <v>24894.25</v>
      </c>
      <c r="E68" s="27" t="n">
        <v>1899.2</v>
      </c>
      <c r="F68" s="27" t="n">
        <v>8214.5</v>
      </c>
      <c r="G68" s="27" t="n">
        <v>295.2</v>
      </c>
      <c r="H68" s="72" t="n">
        <f aca="false">B68/B69-1</f>
        <v>0.0150723772571257</v>
      </c>
      <c r="I68" s="72" t="n">
        <f aca="false">C68/C69-1</f>
        <v>0.00971620015656249</v>
      </c>
      <c r="K68" s="72" t="n">
        <f aca="false">E68/E69-1</f>
        <v>0.00481456007618641</v>
      </c>
      <c r="L68" s="72" t="n">
        <f aca="false">F68/F69-1</f>
        <v>0.00637059724349154</v>
      </c>
      <c r="M68" s="72" t="n">
        <f aca="false">G68/G69-1</f>
        <v>0.00888585099111405</v>
      </c>
    </row>
    <row r="69" customFormat="false" ht="15" hidden="false" customHeight="false" outlineLevel="0" collapsed="false">
      <c r="A69" s="81" t="n">
        <v>45921</v>
      </c>
      <c r="B69" s="27" t="n">
        <v>1340.2</v>
      </c>
      <c r="C69" s="27" t="n">
        <v>24654.7</v>
      </c>
      <c r="E69" s="27" t="n">
        <v>1890.1</v>
      </c>
      <c r="F69" s="27" t="n">
        <v>8162.5</v>
      </c>
      <c r="G69" s="27" t="n">
        <v>292.6</v>
      </c>
      <c r="H69" s="72" t="n">
        <f aca="false">B69/B70-1</f>
        <v>-0.0561307134305233</v>
      </c>
      <c r="I69" s="72" t="n">
        <f aca="false">C69/C70-1</f>
        <v>-0.0265467158630791</v>
      </c>
      <c r="K69" s="72" t="n">
        <f aca="false">E69/E70-1</f>
        <v>-0.0375292799674102</v>
      </c>
      <c r="L69" s="72" t="n">
        <f aca="false">F69/F70-1</f>
        <v>-0.0149640982320642</v>
      </c>
      <c r="M69" s="72" t="n">
        <f aca="false">G69/G70-1</f>
        <v>-0.0680044593088071</v>
      </c>
    </row>
    <row r="70" customFormat="false" ht="15" hidden="false" customHeight="false" outlineLevel="0" collapsed="false">
      <c r="A70" s="81" t="n">
        <v>45914</v>
      </c>
      <c r="B70" s="27" t="n">
        <v>1419.9</v>
      </c>
      <c r="C70" s="27" t="n">
        <v>25327.05</v>
      </c>
      <c r="E70" s="27" t="n">
        <v>1963.8</v>
      </c>
      <c r="F70" s="27" t="n">
        <v>8286.5</v>
      </c>
      <c r="G70" s="27" t="n">
        <v>313.95</v>
      </c>
      <c r="H70" s="72" t="n">
        <f aca="false">B70/B71-1</f>
        <v>0.011612995155315</v>
      </c>
      <c r="I70" s="72" t="n">
        <f aca="false">C70/C71-1</f>
        <v>0.00848331607868125</v>
      </c>
      <c r="K70" s="72" t="n">
        <f aca="false">E70/E71-1</f>
        <v>0.0418589845615152</v>
      </c>
      <c r="L70" s="72" t="n">
        <f aca="false">F70/F71-1</f>
        <v>0.0441658266129033</v>
      </c>
      <c r="M70" s="72" t="n">
        <f aca="false">G70/G71-1</f>
        <v>-0.00159007791381782</v>
      </c>
    </row>
    <row r="71" customFormat="false" ht="15" hidden="false" customHeight="false" outlineLevel="0" collapsed="false">
      <c r="A71" s="81" t="n">
        <v>45907</v>
      </c>
      <c r="B71" s="27" t="n">
        <v>1403.6</v>
      </c>
      <c r="C71" s="27" t="n">
        <v>25114</v>
      </c>
      <c r="E71" s="27" t="n">
        <v>1884.9</v>
      </c>
      <c r="F71" s="27" t="n">
        <v>7936</v>
      </c>
      <c r="G71" s="27" t="n">
        <v>314.45</v>
      </c>
      <c r="H71" s="72" t="n">
        <f aca="false">B71/B72-1</f>
        <v>-0.0203796761585706</v>
      </c>
      <c r="I71" s="72" t="n">
        <f aca="false">C71/C72-1</f>
        <v>0.0150761893213693</v>
      </c>
      <c r="K71" s="72" t="n">
        <f aca="false">E71/E72-1</f>
        <v>-0.0301517880113198</v>
      </c>
      <c r="L71" s="72" t="n">
        <f aca="false">F71/F72-1</f>
        <v>0.0182844678257523</v>
      </c>
      <c r="M71" s="72" t="n">
        <f aca="false">G71/G72-1</f>
        <v>-0.0401404151404152</v>
      </c>
    </row>
    <row r="72" customFormat="false" ht="15" hidden="false" customHeight="false" outlineLevel="0" collapsed="false">
      <c r="A72" s="81" t="n">
        <v>45900</v>
      </c>
      <c r="B72" s="27" t="n">
        <v>1432.8</v>
      </c>
      <c r="C72" s="27" t="n">
        <v>24741</v>
      </c>
      <c r="E72" s="27" t="n">
        <v>1943.5</v>
      </c>
      <c r="F72" s="27" t="n">
        <v>7793.5</v>
      </c>
      <c r="G72" s="27" t="n">
        <v>327.6</v>
      </c>
      <c r="H72" s="72" t="n">
        <f aca="false">B72/B73-1</f>
        <v>0.0427947598253275</v>
      </c>
      <c r="I72" s="72" t="n">
        <f aca="false">C72/C73-1</f>
        <v>0.0128608477965846</v>
      </c>
      <c r="K72" s="72" t="n">
        <f aca="false">E72/E73-1</f>
        <v>0.0328426422915449</v>
      </c>
      <c r="L72" s="72" t="n">
        <f aca="false">F72/F73-1</f>
        <v>0.0723770209838321</v>
      </c>
      <c r="M72" s="72" t="n">
        <f aca="false">G72/G73-1</f>
        <v>-0.00727272727272721</v>
      </c>
    </row>
    <row r="73" customFormat="false" ht="15" hidden="false" customHeight="false" outlineLevel="0" collapsed="false">
      <c r="A73" s="81" t="n">
        <v>45893</v>
      </c>
      <c r="B73" s="27" t="n">
        <v>1374</v>
      </c>
      <c r="C73" s="27" t="n">
        <v>24426.85</v>
      </c>
      <c r="E73" s="27" t="n">
        <v>1881.7</v>
      </c>
      <c r="F73" s="27" t="n">
        <v>7267.5</v>
      </c>
      <c r="G73" s="27" t="n">
        <v>330</v>
      </c>
      <c r="H73" s="72" t="n">
        <f aca="false">B73/B74-1</f>
        <v>0.0153709725096067</v>
      </c>
      <c r="I73" s="72" t="n">
        <f aca="false">C73/C74-1</f>
        <v>-0.0178226062621381</v>
      </c>
      <c r="K73" s="72" t="n">
        <f aca="false">E73/E74-1</f>
        <v>-0.0199479166666666</v>
      </c>
      <c r="L73" s="72" t="n">
        <f aca="false">F73/F74-1</f>
        <v>0.000964120928310663</v>
      </c>
      <c r="M73" s="72" t="n">
        <f aca="false">G73/G74-1</f>
        <v>0.0419955794126934</v>
      </c>
    </row>
    <row r="74" customFormat="false" ht="15" hidden="false" customHeight="false" outlineLevel="0" collapsed="false">
      <c r="A74" s="81" t="n">
        <v>45886</v>
      </c>
      <c r="B74" s="27" t="n">
        <v>1353.2</v>
      </c>
      <c r="C74" s="27" t="n">
        <v>24870.1</v>
      </c>
      <c r="E74" s="27" t="n">
        <v>1920</v>
      </c>
      <c r="F74" s="27" t="n">
        <v>7260.5</v>
      </c>
      <c r="G74" s="27" t="n">
        <v>316.7</v>
      </c>
      <c r="H74" s="72" t="n">
        <f aca="false">B74/B75-1</f>
        <v>0.0614998431126452</v>
      </c>
      <c r="I74" s="72" t="n">
        <f aca="false">C74/C75-1</f>
        <v>0.0096949815884666</v>
      </c>
      <c r="K74" s="72" t="n">
        <f aca="false">E74/E75-1</f>
        <v>0.0755097468070805</v>
      </c>
      <c r="L74" s="72" t="n">
        <f aca="false">F74/F75-1</f>
        <v>0.0530094271211024</v>
      </c>
      <c r="M74" s="72" t="n">
        <f aca="false">G74/G75-1</f>
        <v>-0.0096935584740464</v>
      </c>
    </row>
    <row r="75" customFormat="false" ht="15" hidden="false" customHeight="false" outlineLevel="0" collapsed="false">
      <c r="A75" s="81" t="n">
        <v>45879</v>
      </c>
      <c r="B75" s="27" t="n">
        <v>1274.8</v>
      </c>
      <c r="C75" s="27" t="n">
        <v>24631.3</v>
      </c>
      <c r="E75" s="27" t="n">
        <v>1785.2</v>
      </c>
      <c r="F75" s="27" t="n">
        <v>6895</v>
      </c>
      <c r="G75" s="27" t="n">
        <v>319.8</v>
      </c>
      <c r="H75" s="72" t="n">
        <f aca="false">B75/B76-1</f>
        <v>-0.0230669016782896</v>
      </c>
      <c r="I75" s="72" t="n">
        <f aca="false">C75/C76-1</f>
        <v>0.0110001518677683</v>
      </c>
      <c r="K75" s="72" t="n">
        <f aca="false">E75/E76-1</f>
        <v>-0.0083874909737266</v>
      </c>
      <c r="L75" s="72" t="n">
        <f aca="false">F75/F76-1</f>
        <v>-0.0624787545040452</v>
      </c>
      <c r="M75" s="72" t="n">
        <f aca="false">G75/G76-1</f>
        <v>0.000312793243665954</v>
      </c>
    </row>
    <row r="76" customFormat="false" ht="15" hidden="false" customHeight="false" outlineLevel="0" collapsed="false">
      <c r="A76" s="81" t="n">
        <v>45872</v>
      </c>
      <c r="B76" s="27" t="n">
        <v>1304.9</v>
      </c>
      <c r="C76" s="27" t="n">
        <v>24363.3</v>
      </c>
      <c r="E76" s="27" t="n">
        <v>1800.3</v>
      </c>
      <c r="F76" s="27" t="n">
        <v>7354.5</v>
      </c>
      <c r="G76" s="27" t="n">
        <v>319.7</v>
      </c>
      <c r="H76" s="72" t="n">
        <f aca="false">B76/B77-1</f>
        <v>-0.00948838621527248</v>
      </c>
      <c r="I76" s="72" t="n">
        <f aca="false">C76/C77-1</f>
        <v>-0.00822499984734593</v>
      </c>
      <c r="K76" s="72" t="n">
        <f aca="false">E76/E77-1</f>
        <v>0.0608721272834414</v>
      </c>
      <c r="L76" s="72" t="n">
        <f aca="false">F76/F77-1</f>
        <v>-0.065620632702325</v>
      </c>
      <c r="M76" s="72" t="n">
        <f aca="false">G76/G77-1</f>
        <v>-0.00466998754669989</v>
      </c>
    </row>
    <row r="77" customFormat="false" ht="15" hidden="false" customHeight="false" outlineLevel="0" collapsed="false">
      <c r="A77" s="81" t="n">
        <v>45865</v>
      </c>
      <c r="B77" s="27" t="n">
        <v>1317.4</v>
      </c>
      <c r="C77" s="27" t="n">
        <v>24565.35</v>
      </c>
      <c r="E77" s="27" t="n">
        <v>1697</v>
      </c>
      <c r="F77" s="27" t="n">
        <v>7871</v>
      </c>
      <c r="G77" s="27" t="n">
        <v>321.2</v>
      </c>
      <c r="H77" s="72" t="n">
        <f aca="false">B77/B78-1</f>
        <v>0.00136819702037116</v>
      </c>
      <c r="I77" s="72" t="n">
        <f aca="false">C77/C78-1</f>
        <v>-0.0109373112694771</v>
      </c>
      <c r="K77" s="72" t="n">
        <f aca="false">E77/E78-1</f>
        <v>-0.028731684981685</v>
      </c>
      <c r="L77" s="72" t="n">
        <f aca="false">F77/F78-1</f>
        <v>0.0821475218258061</v>
      </c>
      <c r="M77" s="72" t="n">
        <f aca="false">G77/G78-1</f>
        <v>-0.0235598115215079</v>
      </c>
    </row>
    <row r="78" customFormat="false" ht="15" hidden="false" customHeight="false" outlineLevel="0" collapsed="false">
      <c r="A78" s="81" t="n">
        <v>45858</v>
      </c>
      <c r="B78" s="27" t="n">
        <v>1315.6</v>
      </c>
      <c r="C78" s="27" t="n">
        <v>24837</v>
      </c>
      <c r="E78" s="27" t="n">
        <v>1747.2</v>
      </c>
      <c r="F78" s="27" t="n">
        <v>7273.5</v>
      </c>
      <c r="G78" s="27" t="n">
        <v>328.95</v>
      </c>
      <c r="H78" s="72" t="n">
        <f aca="false">B78/B79-1</f>
        <v>-0.0445896877269427</v>
      </c>
      <c r="I78" s="72" t="n">
        <f aca="false">C78/C79-1</f>
        <v>-0.00526265199211806</v>
      </c>
      <c r="K78" s="72" t="n">
        <f aca="false">E78/E79-1</f>
        <v>-0.0531620874654527</v>
      </c>
      <c r="L78" s="72" t="n">
        <f aca="false">F78/F79-1</f>
        <v>-0.0434010652988756</v>
      </c>
      <c r="M78" s="72" t="n">
        <f aca="false">G78/G79-1</f>
        <v>-0.0433328486258544</v>
      </c>
    </row>
    <row r="79" customFormat="false" ht="15" hidden="false" customHeight="false" outlineLevel="0" collapsed="false">
      <c r="A79" s="81" t="n">
        <v>45851</v>
      </c>
      <c r="B79" s="27" t="n">
        <v>1377</v>
      </c>
      <c r="C79" s="27" t="n">
        <v>24968.4</v>
      </c>
      <c r="E79" s="27" t="n">
        <v>1845.3</v>
      </c>
      <c r="F79" s="27" t="n">
        <v>7603.5</v>
      </c>
      <c r="G79" s="27" t="n">
        <v>343.85</v>
      </c>
      <c r="H79" s="72" t="n">
        <f aca="false">B79/B80-1</f>
        <v>0.00547645125958374</v>
      </c>
      <c r="I79" s="72" t="n">
        <f aca="false">C79/C80-1</f>
        <v>-0.00721475475996858</v>
      </c>
      <c r="K79" s="72" t="n">
        <f aca="false">E79/E80-1</f>
        <v>0.0252805867318591</v>
      </c>
      <c r="L79" s="72" t="n">
        <f aca="false">F79/F80-1</f>
        <v>0.0183486238532109</v>
      </c>
      <c r="M79" s="72" t="n">
        <f aca="false">G79/G80-1</f>
        <v>0.0244302100402205</v>
      </c>
    </row>
    <row r="80" customFormat="false" ht="15" hidden="false" customHeight="false" outlineLevel="0" collapsed="false">
      <c r="A80" s="81" t="n">
        <v>45844</v>
      </c>
      <c r="B80" s="27" t="n">
        <v>1369.5</v>
      </c>
      <c r="C80" s="27" t="n">
        <v>25149.85</v>
      </c>
      <c r="E80" s="27" t="n">
        <v>1799.8</v>
      </c>
      <c r="F80" s="27" t="n">
        <v>7466.5</v>
      </c>
      <c r="G80" s="27" t="n">
        <v>335.65</v>
      </c>
      <c r="H80" s="72" t="n">
        <f aca="false">B80/B81-1</f>
        <v>0.00373790677220742</v>
      </c>
      <c r="I80" s="72" t="n">
        <f aca="false">C80/C81-1</f>
        <v>-0.0122206511920192</v>
      </c>
      <c r="K80" s="72" t="n">
        <f aca="false">E80/E81-1</f>
        <v>-0.0224853356506627</v>
      </c>
      <c r="L80" s="72" t="n">
        <f aca="false">F80/F81-1</f>
        <v>0.0159194503027418</v>
      </c>
      <c r="M80" s="72" t="n">
        <f aca="false">G80/G81-1</f>
        <v>-0.0546401915223209</v>
      </c>
    </row>
    <row r="81" customFormat="false" ht="15" hidden="false" customHeight="false" outlineLevel="0" collapsed="false">
      <c r="A81" s="81" t="n">
        <v>45837</v>
      </c>
      <c r="B81" s="27" t="n">
        <v>1364.4</v>
      </c>
      <c r="C81" s="27" t="n">
        <v>25461</v>
      </c>
      <c r="E81" s="27" t="n">
        <v>1841.2</v>
      </c>
      <c r="F81" s="27" t="n">
        <v>7349.5</v>
      </c>
      <c r="G81" s="27" t="n">
        <v>355.05</v>
      </c>
      <c r="H81" s="72" t="n">
        <f aca="false">B81/B82-1</f>
        <v>0.0452769478280857</v>
      </c>
      <c r="I81" s="72" t="n">
        <f aca="false">C81/C82-1</f>
        <v>-0.0068960675252947</v>
      </c>
      <c r="K81" s="72" t="n">
        <f aca="false">E81/E82-1</f>
        <v>0.133743842364532</v>
      </c>
      <c r="L81" s="72" t="n">
        <f aca="false">F81/F82-1</f>
        <v>0.0731547054099437</v>
      </c>
      <c r="M81" s="72" t="n">
        <f aca="false">G81/G82-1</f>
        <v>-0.00587988240235182</v>
      </c>
    </row>
    <row r="82" customFormat="false" ht="15" hidden="false" customHeight="false" outlineLevel="0" collapsed="false">
      <c r="A82" s="81" t="n">
        <v>45830</v>
      </c>
      <c r="B82" s="27" t="n">
        <v>1305.3</v>
      </c>
      <c r="C82" s="27" t="n">
        <v>25637.8</v>
      </c>
      <c r="E82" s="27" t="n">
        <v>1624</v>
      </c>
      <c r="F82" s="27" t="n">
        <v>6848.5</v>
      </c>
      <c r="G82" s="27" t="n">
        <v>357.15</v>
      </c>
      <c r="H82" s="72" t="n">
        <f aca="false">B82/B83-1</f>
        <v>0.00881057268722452</v>
      </c>
      <c r="I82" s="72" t="n">
        <f aca="false">C82/C83-1</f>
        <v>0.0209219349803285</v>
      </c>
      <c r="K82" s="72" t="n">
        <f aca="false">E82/E83-1</f>
        <v>0.00869565217391299</v>
      </c>
      <c r="L82" s="72" t="n">
        <f aca="false">F82/F83-1</f>
        <v>0.0505445620493941</v>
      </c>
      <c r="M82" s="72" t="n">
        <f aca="false">G82/G83-1</f>
        <v>0.0364190365641321</v>
      </c>
    </row>
    <row r="83" customFormat="false" ht="15" hidden="false" customHeight="false" outlineLevel="0" collapsed="false">
      <c r="A83" s="81" t="n">
        <v>45823</v>
      </c>
      <c r="B83" s="27" t="n">
        <v>1293.9</v>
      </c>
      <c r="C83" s="27" t="n">
        <v>25112.4</v>
      </c>
      <c r="E83" s="27" t="n">
        <v>1610</v>
      </c>
      <c r="F83" s="27" t="n">
        <v>6519</v>
      </c>
      <c r="G83" s="27" t="n">
        <v>344.6</v>
      </c>
      <c r="H83" s="72" t="n">
        <f aca="false">B83/B84-1</f>
        <v>0.0130754776072659</v>
      </c>
      <c r="I83" s="72" t="n">
        <f aca="false">C83/C84-1</f>
        <v>0.0159313229713658</v>
      </c>
      <c r="K83" s="72" t="n">
        <f aca="false">E83/E84-1</f>
        <v>-0.0212170952641498</v>
      </c>
      <c r="L83" s="72" t="n">
        <f aca="false">F83/F84-1</f>
        <v>0.0078849721706864</v>
      </c>
      <c r="M83" s="72" t="n">
        <f aca="false">G83/G84-1</f>
        <v>0.00203547542890381</v>
      </c>
    </row>
    <row r="84" customFormat="false" ht="15" hidden="false" customHeight="false" outlineLevel="0" collapsed="false">
      <c r="A84" s="81" t="n">
        <v>45816</v>
      </c>
      <c r="B84" s="27" t="n">
        <v>1277.2</v>
      </c>
      <c r="C84" s="27" t="n">
        <v>24718.6</v>
      </c>
      <c r="E84" s="27" t="n">
        <v>1644.9</v>
      </c>
      <c r="F84" s="27" t="n">
        <v>6468</v>
      </c>
      <c r="G84" s="27" t="n">
        <v>343.9</v>
      </c>
      <c r="H84" s="72" t="n">
        <f aca="false">B84/B85-1</f>
        <v>0.00479899299819064</v>
      </c>
      <c r="I84" s="72" t="n">
        <f aca="false">C84/C85-1</f>
        <v>-0.0113766120533295</v>
      </c>
      <c r="K84" s="72" t="n">
        <f aca="false">E84/E85-1</f>
        <v>0.0350490812987667</v>
      </c>
      <c r="L84" s="72" t="n">
        <f aca="false">F84/F85-1</f>
        <v>0.0111779879621667</v>
      </c>
      <c r="M84" s="72" t="n">
        <f aca="false">G84/G85-1</f>
        <v>-0.0220389591923788</v>
      </c>
    </row>
    <row r="85" customFormat="false" ht="15" hidden="false" customHeight="false" outlineLevel="0" collapsed="false">
      <c r="A85" s="81" t="n">
        <v>45809</v>
      </c>
      <c r="B85" s="27" t="n">
        <v>1271.1</v>
      </c>
      <c r="C85" s="27" t="n">
        <v>25003.05</v>
      </c>
      <c r="E85" s="27" t="n">
        <v>1589.2</v>
      </c>
      <c r="F85" s="27" t="n">
        <v>6396.5</v>
      </c>
      <c r="G85" s="27" t="n">
        <v>351.65</v>
      </c>
      <c r="H85" s="72" t="n">
        <f aca="false">B85/B86-1</f>
        <v>0.00657269559708573</v>
      </c>
      <c r="I85" s="72" t="n">
        <f aca="false">C85/C86-1</f>
        <v>0.0101956712335407</v>
      </c>
      <c r="K85" s="72" t="n">
        <f aca="false">E85/E86-1</f>
        <v>0.037133720550806</v>
      </c>
      <c r="L85" s="72" t="n">
        <f aca="false">F85/F86-1</f>
        <v>-0.0146345220673189</v>
      </c>
      <c r="M85" s="72" t="n">
        <f aca="false">G85/G86-1</f>
        <v>-0.00354207990932276</v>
      </c>
    </row>
    <row r="86" customFormat="false" ht="15" hidden="false" customHeight="false" outlineLevel="0" collapsed="false">
      <c r="A86" s="81" t="n">
        <v>45802</v>
      </c>
      <c r="B86" s="27" t="n">
        <v>1262.8</v>
      </c>
      <c r="C86" s="27" t="n">
        <v>24750.7</v>
      </c>
      <c r="E86" s="27" t="n">
        <v>1532.3</v>
      </c>
      <c r="F86" s="27" t="n">
        <v>6491.5</v>
      </c>
      <c r="G86" s="27" t="n">
        <v>352.9</v>
      </c>
      <c r="H86" s="72" t="n">
        <f aca="false">B86/B87-1</f>
        <v>0.00198365468539241</v>
      </c>
      <c r="I86" s="72" t="n">
        <f aca="false">C86/C87-1</f>
        <v>-0.00412221388435674</v>
      </c>
      <c r="K86" s="72" t="n">
        <f aca="false">E86/E87-1</f>
        <v>-0.016116604597406</v>
      </c>
      <c r="L86" s="72" t="n">
        <f aca="false">F86/F87-1</f>
        <v>0.0134259620638513</v>
      </c>
      <c r="M86" s="72" t="n">
        <f aca="false">G86/G87-1</f>
        <v>0.00384013653818793</v>
      </c>
    </row>
    <row r="87" customFormat="false" ht="15" hidden="false" customHeight="false" outlineLevel="0" collapsed="false">
      <c r="A87" s="81" t="n">
        <v>45795</v>
      </c>
      <c r="B87" s="27" t="n">
        <v>1260.3</v>
      </c>
      <c r="C87" s="27" t="n">
        <v>24853.15</v>
      </c>
      <c r="E87" s="27" t="n">
        <v>1557.4</v>
      </c>
      <c r="F87" s="27" t="n">
        <v>6405.5</v>
      </c>
      <c r="G87" s="27" t="n">
        <v>351.55</v>
      </c>
      <c r="H87" s="72" t="n">
        <f aca="false">B87/B88-1</f>
        <v>-0.000872046931980397</v>
      </c>
      <c r="I87" s="72" t="n">
        <f aca="false">C87/C88-1</f>
        <v>-0.00666072470603274</v>
      </c>
      <c r="K87" s="72" t="n">
        <f aca="false">E87/E88-1</f>
        <v>-0.00371033776867957</v>
      </c>
      <c r="L87" s="72" t="n">
        <f aca="false">F87/F88-1</f>
        <v>0.000312329194971595</v>
      </c>
      <c r="M87" s="72" t="n">
        <f aca="false">G87/G88-1</f>
        <v>0.000854092526690442</v>
      </c>
    </row>
    <row r="88" customFormat="false" ht="15" hidden="false" customHeight="false" outlineLevel="0" collapsed="false">
      <c r="A88" s="81" t="n">
        <v>45788</v>
      </c>
      <c r="B88" s="27" t="n">
        <v>1261.4</v>
      </c>
      <c r="C88" s="27" t="n">
        <v>25019.8</v>
      </c>
      <c r="E88" s="27" t="n">
        <v>1563.2</v>
      </c>
      <c r="F88" s="27" t="n">
        <v>6403.5</v>
      </c>
      <c r="G88" s="27" t="n">
        <v>351.25</v>
      </c>
      <c r="H88" s="72" t="n">
        <f aca="false">B88/B89-1</f>
        <v>0.0208805438653288</v>
      </c>
      <c r="I88" s="72" t="n">
        <f aca="false">C88/C89-1</f>
        <v>0.0421442852382539</v>
      </c>
      <c r="K88" s="72" t="n">
        <f aca="false">E88/E89-1</f>
        <v>-0.0193224592220828</v>
      </c>
      <c r="L88" s="72" t="n">
        <f aca="false">F88/F89-1</f>
        <v>0.105004314063848</v>
      </c>
      <c r="M88" s="72" t="n">
        <f aca="false">G88/G89-1</f>
        <v>0.0913469007301537</v>
      </c>
    </row>
    <row r="89" customFormat="false" ht="15" hidden="false" customHeight="false" outlineLevel="0" collapsed="false">
      <c r="A89" s="81" t="n">
        <v>45781</v>
      </c>
      <c r="B89" s="27" t="n">
        <v>1235.6</v>
      </c>
      <c r="C89" s="27" t="n">
        <v>24008</v>
      </c>
      <c r="E89" s="27" t="n">
        <v>1594</v>
      </c>
      <c r="F89" s="27" t="n">
        <v>5795</v>
      </c>
      <c r="G89" s="27" t="n">
        <v>321.85</v>
      </c>
      <c r="H89" s="72" t="n">
        <f aca="false">B89/B90-1</f>
        <v>0.0230170558039411</v>
      </c>
      <c r="I89" s="72" t="n">
        <f aca="false">C89/C90-1</f>
        <v>-0.0139115362656952</v>
      </c>
      <c r="K89" s="72" t="n">
        <f aca="false">E89/E90-1</f>
        <v>-0.0461372748489018</v>
      </c>
      <c r="L89" s="72" t="n">
        <f aca="false">F89/F90-1</f>
        <v>-0.0635856831219197</v>
      </c>
      <c r="M89" s="72" t="n">
        <f aca="false">G89/G90-1</f>
        <v>-0.00294299876084259</v>
      </c>
    </row>
    <row r="90" customFormat="false" ht="15" hidden="false" customHeight="false" outlineLevel="0" collapsed="false">
      <c r="A90" s="81" t="n">
        <v>45774</v>
      </c>
      <c r="B90" s="27" t="n">
        <v>1207.8</v>
      </c>
      <c r="C90" s="27" t="n">
        <v>24346.7</v>
      </c>
      <c r="E90" s="27" t="n">
        <v>1671.1</v>
      </c>
      <c r="F90" s="27" t="n">
        <v>6188.5</v>
      </c>
      <c r="G90" s="27" t="n">
        <v>322.8</v>
      </c>
      <c r="H90" s="72" t="n">
        <f aca="false">B90/B91-1</f>
        <v>-0.0175695461200587</v>
      </c>
      <c r="I90" s="72" t="n">
        <f aca="false">C90/C91-1</f>
        <v>0.0127852874557757</v>
      </c>
      <c r="K90" s="72" t="n">
        <f aca="false">E90/E91-1</f>
        <v>-0.0391559337626496</v>
      </c>
      <c r="L90" s="72" t="n">
        <f aca="false">F90/F91-1</f>
        <v>-0.032139505786675</v>
      </c>
      <c r="M90" s="72" t="n">
        <f aca="false">G90/G91-1</f>
        <v>-0.0359862625055996</v>
      </c>
    </row>
    <row r="91" customFormat="false" ht="15" hidden="false" customHeight="false" outlineLevel="0" collapsed="false">
      <c r="A91" s="81" t="n">
        <v>45767</v>
      </c>
      <c r="B91" s="27" t="n">
        <v>1229.4</v>
      </c>
      <c r="C91" s="27" t="n">
        <v>24039.35</v>
      </c>
      <c r="E91" s="27" t="n">
        <v>1739.2</v>
      </c>
      <c r="F91" s="27" t="n">
        <v>6394</v>
      </c>
      <c r="G91" s="27" t="n">
        <v>334.85</v>
      </c>
      <c r="H91" s="72" t="n">
        <f aca="false">B91/B92-1</f>
        <v>-0.043194022881158</v>
      </c>
      <c r="I91" s="72" t="n">
        <f aca="false">C91/C92-1</f>
        <v>0.00786947653516612</v>
      </c>
      <c r="K91" s="72" t="n">
        <f aca="false">E91/E92-1</f>
        <v>-0.137044755383547</v>
      </c>
      <c r="L91" s="72" t="n">
        <f aca="false">F91/F92-1</f>
        <v>-0.0436733472928508</v>
      </c>
      <c r="M91" s="72" t="n">
        <f aca="false">G91/G92-1</f>
        <v>0.00797712221553293</v>
      </c>
    </row>
    <row r="92" customFormat="false" ht="15" hidden="false" customHeight="false" outlineLevel="0" collapsed="false">
      <c r="A92" s="81" t="n">
        <v>45760</v>
      </c>
      <c r="B92" s="27" t="n">
        <v>1284.9</v>
      </c>
      <c r="C92" s="27" t="n">
        <v>23851.65</v>
      </c>
      <c r="E92" s="27" t="n">
        <v>2015.4</v>
      </c>
      <c r="F92" s="27" t="n">
        <v>6686</v>
      </c>
      <c r="G92" s="27" t="n">
        <v>332.2</v>
      </c>
      <c r="H92" s="72" t="n">
        <f aca="false">B92/B93-1</f>
        <v>0</v>
      </c>
      <c r="I92" s="72" t="n">
        <f aca="false">C92/C93-1</f>
        <v>0.0448166878754894</v>
      </c>
      <c r="K92" s="72" t="n">
        <f aca="false">E92/E93-1</f>
        <v>0.0245018300122002</v>
      </c>
      <c r="L92" s="72" t="n">
        <f aca="false">F92/F93-1</f>
        <v>0.0238818998323136</v>
      </c>
      <c r="M92" s="72" t="n">
        <f aca="false">G92/G93-1</f>
        <v>-0.00568692008380733</v>
      </c>
    </row>
    <row r="93" customFormat="false" ht="15" hidden="false" customHeight="false" outlineLevel="0" collapsed="false">
      <c r="A93" s="81" t="n">
        <v>45753</v>
      </c>
      <c r="B93" s="27" t="n">
        <v>1284.9</v>
      </c>
      <c r="C93" s="27" t="n">
        <v>22828.55</v>
      </c>
      <c r="E93" s="27" t="n">
        <v>1967.2</v>
      </c>
      <c r="F93" s="27" t="n">
        <v>6530.05</v>
      </c>
      <c r="G93" s="27" t="n">
        <v>334.1</v>
      </c>
      <c r="H93" s="72" t="n">
        <f aca="false">B93/B94-1</f>
        <v>-0.0101687081118557</v>
      </c>
      <c r="I93" s="72" t="n">
        <f aca="false">C93/C94-1</f>
        <v>-0.00331376653881676</v>
      </c>
      <c r="K93" s="72" t="n">
        <f aca="false">E93/E94-1</f>
        <v>-0.0242547492683894</v>
      </c>
      <c r="L93" s="72" t="n">
        <f aca="false">F93/F94-1</f>
        <v>-0.00987088997217644</v>
      </c>
      <c r="M93" s="72" t="n">
        <f aca="false">G93/G94-1</f>
        <v>0.014576374126936</v>
      </c>
    </row>
    <row r="94" customFormat="false" ht="15" hidden="false" customHeight="false" outlineLevel="0" collapsed="false">
      <c r="A94" s="81" t="n">
        <v>45746</v>
      </c>
      <c r="B94" s="27" t="n">
        <v>1298.1</v>
      </c>
      <c r="C94" s="27" t="n">
        <v>22904.45</v>
      </c>
      <c r="E94" s="27" t="n">
        <v>2016.1</v>
      </c>
      <c r="F94" s="27" t="n">
        <v>6595.15</v>
      </c>
      <c r="G94" s="27" t="n">
        <v>329.3</v>
      </c>
      <c r="H94" s="72" t="n">
        <f aca="false">B94/B95-1</f>
        <v>-0.110098032494687</v>
      </c>
      <c r="I94" s="72" t="n">
        <f aca="false">C94/C95-1</f>
        <v>-0.0261444300118837</v>
      </c>
      <c r="K94" s="72" t="n">
        <f aca="false">E94/E95-1</f>
        <v>-0.0563096798352369</v>
      </c>
      <c r="L94" s="72" t="n">
        <f aca="false">F94/F95-1</f>
        <v>-0.0853852181088223</v>
      </c>
      <c r="M94" s="72" t="n">
        <f aca="false">G94/G95-1</f>
        <v>-0.0696426048876959</v>
      </c>
    </row>
    <row r="95" customFormat="false" ht="15" hidden="false" customHeight="false" outlineLevel="0" collapsed="false">
      <c r="A95" s="81" t="n">
        <v>45739</v>
      </c>
      <c r="B95" s="27" t="n">
        <v>1458.7</v>
      </c>
      <c r="C95" s="27" t="n">
        <v>23519.35</v>
      </c>
      <c r="E95" s="27" t="n">
        <v>2136.4</v>
      </c>
      <c r="F95" s="27" t="n">
        <v>7210.85</v>
      </c>
      <c r="G95" s="27" t="n">
        <v>353.95</v>
      </c>
      <c r="H95" s="72" t="n">
        <f aca="false">B95/B96-1</f>
        <v>0.0204267226302903</v>
      </c>
      <c r="I95" s="72" t="n">
        <f aca="false">C95/C96-1</f>
        <v>0.00723542209127026</v>
      </c>
      <c r="K95" s="72" t="n">
        <f aca="false">E95/E96-1</f>
        <v>-0.0075718864681561</v>
      </c>
      <c r="L95" s="72" t="n">
        <f aca="false">F95/F96-1</f>
        <v>0.0464839526598022</v>
      </c>
      <c r="M95" s="72" t="n">
        <f aca="false">G95/G96-1</f>
        <v>-0.0245280418905884</v>
      </c>
    </row>
    <row r="96" customFormat="false" ht="15" hidden="false" customHeight="false" outlineLevel="0" collapsed="false">
      <c r="A96" s="81" t="n">
        <v>45732</v>
      </c>
      <c r="B96" s="27" t="n">
        <v>1429.5</v>
      </c>
      <c r="C96" s="27" t="n">
        <v>23350.4</v>
      </c>
      <c r="E96" s="27" t="n">
        <v>2152.7</v>
      </c>
      <c r="F96" s="27" t="n">
        <v>6890.55</v>
      </c>
      <c r="G96" s="27" t="n">
        <v>362.85</v>
      </c>
      <c r="H96" s="72" t="n">
        <f aca="false">B96/B97-1</f>
        <v>0.0192150012477275</v>
      </c>
      <c r="I96" s="72" t="n">
        <f aca="false">C96/C97-1</f>
        <v>0.0425588912899828</v>
      </c>
      <c r="K96" s="72" t="n">
        <f aca="false">E96/E97-1</f>
        <v>0.0627206081998371</v>
      </c>
      <c r="L96" s="72" t="n">
        <f aca="false">F96/F97-1</f>
        <v>0.0824837012017909</v>
      </c>
      <c r="M96" s="72" t="n">
        <f aca="false">G96/G97-1</f>
        <v>0.0540305010893247</v>
      </c>
    </row>
    <row r="97" customFormat="false" ht="15" hidden="false" customHeight="false" outlineLevel="0" collapsed="false">
      <c r="A97" s="81" t="n">
        <v>45725</v>
      </c>
      <c r="B97" s="27" t="n">
        <v>1402.55</v>
      </c>
      <c r="C97" s="27" t="n">
        <v>22397.2</v>
      </c>
      <c r="E97" s="27" t="n">
        <v>2025.65</v>
      </c>
      <c r="F97" s="27" t="n">
        <v>6365.5</v>
      </c>
      <c r="G97" s="27" t="n">
        <v>344.25</v>
      </c>
      <c r="H97" s="72" t="n">
        <f aca="false">B97/B98-1</f>
        <v>-0.00206339606531725</v>
      </c>
      <c r="I97" s="72" t="n">
        <f aca="false">C97/C98-1</f>
        <v>-0.00688615452832275</v>
      </c>
      <c r="K97" s="72" t="n">
        <f aca="false">E97/E98-1</f>
        <v>-0.0357491372129001</v>
      </c>
      <c r="L97" s="72" t="n">
        <f aca="false">F97/F98-1</f>
        <v>0.00415670870700335</v>
      </c>
      <c r="M97" s="72" t="n">
        <f aca="false">G97/G98-1</f>
        <v>-0.000580635796196827</v>
      </c>
    </row>
    <row r="98" customFormat="false" ht="15" hidden="false" customHeight="false" outlineLevel="0" collapsed="false">
      <c r="A98" s="81" t="n">
        <v>45718</v>
      </c>
      <c r="B98" s="27" t="n">
        <v>1405.45</v>
      </c>
      <c r="C98" s="27" t="n">
        <v>22552.5</v>
      </c>
      <c r="E98" s="27" t="n">
        <v>2100.75</v>
      </c>
      <c r="F98" s="27" t="n">
        <v>6339.15</v>
      </c>
      <c r="G98" s="27" t="n">
        <v>344.45</v>
      </c>
      <c r="H98" s="72" t="n">
        <f aca="false">B98/B99-1</f>
        <v>0.0646541928641771</v>
      </c>
      <c r="I98" s="72" t="n">
        <f aca="false">C98/C99-1</f>
        <v>0.0193358554014291</v>
      </c>
      <c r="K98" s="72" t="n">
        <f aca="false">E98/E99-1</f>
        <v>0.0954814486480848</v>
      </c>
      <c r="L98" s="72" t="n">
        <f aca="false">F98/F99-1</f>
        <v>0.126229202384231</v>
      </c>
      <c r="M98" s="72" t="n">
        <f aca="false">G98/G99-1</f>
        <v>0.072551767087031</v>
      </c>
    </row>
    <row r="99" customFormat="false" ht="15" hidden="false" customHeight="false" outlineLevel="0" collapsed="false">
      <c r="A99" s="81" t="n">
        <v>45711</v>
      </c>
      <c r="B99" s="27" t="n">
        <v>1320.1</v>
      </c>
      <c r="C99" s="27" t="n">
        <v>22124.7</v>
      </c>
      <c r="E99" s="27" t="n">
        <v>1917.65</v>
      </c>
      <c r="F99" s="27" t="n">
        <v>5628.65</v>
      </c>
      <c r="G99" s="27" t="n">
        <v>321.15</v>
      </c>
      <c r="H99" s="72" t="n">
        <f aca="false">B99/B100-1</f>
        <v>0.04026792750197</v>
      </c>
      <c r="I99" s="72" t="n">
        <f aca="false">C99/C100-1</f>
        <v>-0.0294438912260538</v>
      </c>
      <c r="K99" s="72" t="n">
        <f aca="false">E99/E100-1</f>
        <v>0.00203788373612013</v>
      </c>
      <c r="L99" s="72" t="n">
        <f aca="false">F99/F100-1</f>
        <v>-0.0620792508165035</v>
      </c>
      <c r="M99" s="72" t="n">
        <f aca="false">G99/G100-1</f>
        <v>-0.0354407568704011</v>
      </c>
    </row>
    <row r="100" customFormat="false" ht="15" hidden="false" customHeight="false" outlineLevel="0" collapsed="false">
      <c r="A100" s="81" t="n">
        <v>45704</v>
      </c>
      <c r="B100" s="27" t="n">
        <v>1269</v>
      </c>
      <c r="C100" s="27" t="n">
        <v>22795.9</v>
      </c>
      <c r="E100" s="27" t="n">
        <v>1913.75</v>
      </c>
      <c r="F100" s="27" t="n">
        <v>6001.2</v>
      </c>
      <c r="G100" s="27" t="n">
        <v>332.95</v>
      </c>
      <c r="H100" s="72" t="n">
        <f aca="false">B100/B101-1</f>
        <v>0.0454339498290564</v>
      </c>
      <c r="I100" s="72" t="n">
        <f aca="false">C100/C101-1</f>
        <v>-0.00581571573426953</v>
      </c>
      <c r="K100" s="72" t="n">
        <f aca="false">E100/E101-1</f>
        <v>-0.0253870442045223</v>
      </c>
      <c r="L100" s="72" t="n">
        <f aca="false">F100/F101-1</f>
        <v>0.0316126037852611</v>
      </c>
      <c r="M100" s="72" t="n">
        <f aca="false">G100/G101-1</f>
        <v>0.00619522514354798</v>
      </c>
    </row>
    <row r="101" customFormat="false" ht="15" hidden="false" customHeight="false" outlineLevel="0" collapsed="false">
      <c r="A101" s="81" t="n">
        <v>45697</v>
      </c>
      <c r="B101" s="27" t="n">
        <v>1213.85</v>
      </c>
      <c r="C101" s="27" t="n">
        <v>22929.25</v>
      </c>
      <c r="E101" s="27" t="n">
        <v>1963.6</v>
      </c>
      <c r="F101" s="27" t="n">
        <v>5817.3</v>
      </c>
      <c r="G101" s="27" t="n">
        <v>330.9</v>
      </c>
      <c r="H101" s="72" t="n">
        <f aca="false">B101/B102-1</f>
        <v>-0.122465208747515</v>
      </c>
      <c r="I101" s="72" t="n">
        <f aca="false">C101/C102-1</f>
        <v>-0.0267700058786203</v>
      </c>
      <c r="K101" s="72" t="n">
        <f aca="false">E101/E102-1</f>
        <v>-0.0367663290083639</v>
      </c>
      <c r="L101" s="72" t="n">
        <f aca="false">F101/F102-1</f>
        <v>-0.156185406256119</v>
      </c>
      <c r="M101" s="72" t="n">
        <f aca="false">G101/G102-1</f>
        <v>-0.0955309553095532</v>
      </c>
    </row>
    <row r="102" customFormat="false" ht="15" hidden="false" customHeight="false" outlineLevel="0" collapsed="false">
      <c r="A102" s="81" t="n">
        <v>45690</v>
      </c>
      <c r="B102" s="27" t="n">
        <v>1383.25</v>
      </c>
      <c r="C102" s="27" t="n">
        <v>23559.95</v>
      </c>
      <c r="E102" s="27" t="n">
        <v>2038.55</v>
      </c>
      <c r="F102" s="27" t="n">
        <v>6894.05</v>
      </c>
      <c r="G102" s="27" t="n">
        <v>365.85</v>
      </c>
      <c r="H102" s="72" t="n">
        <f aca="false">B102/B103-1</f>
        <v>0.0970773684419242</v>
      </c>
      <c r="I102" s="72" t="n">
        <f aca="false">C102/C103-1</f>
        <v>0.00219283320004759</v>
      </c>
      <c r="K102" s="72" t="n">
        <f aca="false">E102/E103-1</f>
        <v>0.121592253308024</v>
      </c>
      <c r="L102" s="72" t="n">
        <f aca="false">F102/F103-1</f>
        <v>0.0603294472299978</v>
      </c>
      <c r="M102" s="72" t="n">
        <f aca="false">G102/G103-1</f>
        <v>0.0653756552125802</v>
      </c>
    </row>
    <row r="103" customFormat="false" ht="15" hidden="false" customHeight="false" outlineLevel="0" collapsed="false">
      <c r="A103" s="81" t="n">
        <v>45683</v>
      </c>
      <c r="B103" s="27" t="n">
        <v>1260.85</v>
      </c>
      <c r="C103" s="27" t="n">
        <v>23508.4</v>
      </c>
      <c r="E103" s="27" t="n">
        <v>1817.55</v>
      </c>
      <c r="F103" s="27" t="n">
        <v>6501.8</v>
      </c>
      <c r="G103" s="27" t="n">
        <v>343.4</v>
      </c>
      <c r="H103" s="72" t="n">
        <f aca="false">B103/B104-1</f>
        <v>-0.134388301524097</v>
      </c>
      <c r="I103" s="72" t="n">
        <f aca="false">C103/C104-1</f>
        <v>0.0180234018413143</v>
      </c>
      <c r="K103" s="72" t="n">
        <f aca="false">E103/E104-1</f>
        <v>-0.0137287353826953</v>
      </c>
      <c r="L103" s="72" t="n">
        <f aca="false">F103/F104-1</f>
        <v>-0.0676818950930626</v>
      </c>
      <c r="M103" s="72" t="n">
        <f aca="false">G103/G104-1</f>
        <v>0.0108919634972033</v>
      </c>
    </row>
    <row r="104" customFormat="false" ht="15" hidden="false" customHeight="false" outlineLevel="0" collapsed="false">
      <c r="A104" s="81" t="n">
        <v>45676</v>
      </c>
      <c r="B104" s="27" t="n">
        <v>1456.6</v>
      </c>
      <c r="C104" s="27" t="n">
        <v>23092.2</v>
      </c>
      <c r="E104" s="27" t="n">
        <v>1842.85</v>
      </c>
      <c r="F104" s="27" t="n">
        <v>6973.8</v>
      </c>
      <c r="G104" s="27" t="n">
        <v>339.7</v>
      </c>
      <c r="H104" s="72" t="n">
        <f aca="false">B104/B105-1</f>
        <v>-0.0878862832274023</v>
      </c>
      <c r="I104" s="72" t="n">
        <f aca="false">C104/C105-1</f>
        <v>-0.00478382292097646</v>
      </c>
      <c r="K104" s="72" t="n">
        <f aca="false">E104/E105-1</f>
        <v>-0.0418540567239452</v>
      </c>
      <c r="L104" s="72" t="n">
        <f aca="false">F104/F105-1</f>
        <v>0.0320088790233075</v>
      </c>
      <c r="M104" s="72" t="n">
        <f aca="false">G104/G105-1</f>
        <v>-0.0625086242583138</v>
      </c>
    </row>
    <row r="105" customFormat="false" ht="15" hidden="false" customHeight="false" outlineLevel="0" collapsed="false">
      <c r="A105" s="81" t="n">
        <v>45669</v>
      </c>
      <c r="B105" s="27" t="n">
        <v>1596.95</v>
      </c>
      <c r="C105" s="27" t="n">
        <v>23203.2</v>
      </c>
      <c r="E105" s="27" t="n">
        <v>1923.35</v>
      </c>
      <c r="F105" s="27" t="n">
        <v>6757.5</v>
      </c>
      <c r="G105" s="27" t="n">
        <v>362.35</v>
      </c>
      <c r="H105" s="72" t="n">
        <f aca="false">B105/B106-1</f>
        <v>-0.0400060114217012</v>
      </c>
      <c r="I105" s="72" t="n">
        <f aca="false">C105/C106-1</f>
        <v>-0.00974329428333653</v>
      </c>
      <c r="K105" s="72" t="n">
        <f aca="false">E105/E106-1</f>
        <v>-0.0273584667121799</v>
      </c>
      <c r="L105" s="72" t="n">
        <f aca="false">F105/F106-1</f>
        <v>-0.137099915082714</v>
      </c>
      <c r="M105" s="72" t="n">
        <f aca="false">G105/G106-1</f>
        <v>0.00722724113968032</v>
      </c>
    </row>
    <row r="106" customFormat="false" ht="15" hidden="false" customHeight="false" outlineLevel="0" collapsed="false">
      <c r="A106" s="81" t="n">
        <v>45662</v>
      </c>
      <c r="B106" s="27" t="n">
        <v>1663.5</v>
      </c>
      <c r="C106" s="27" t="n">
        <v>23431.5</v>
      </c>
      <c r="E106" s="27" t="n">
        <v>1977.45</v>
      </c>
      <c r="F106" s="27" t="n">
        <v>7831.15</v>
      </c>
      <c r="G106" s="27" t="n">
        <v>359.75</v>
      </c>
      <c r="H106" s="72" t="n">
        <f aca="false">B106/B107-1</f>
        <v>-0.0883432893078314</v>
      </c>
      <c r="I106" s="72" t="n">
        <f aca="false">C106/C107-1</f>
        <v>-0.0238806902800487</v>
      </c>
      <c r="K106" s="72" t="n">
        <f aca="false">E106/E107-1</f>
        <v>-0.154050180744797</v>
      </c>
      <c r="L106" s="72" t="n">
        <f aca="false">F106/F107-1</f>
        <v>0.0110971956824872</v>
      </c>
      <c r="M106" s="72" t="n">
        <f aca="false">G106/G107-1</f>
        <v>-0.0190865712338105</v>
      </c>
    </row>
    <row r="107" customFormat="false" ht="15" hidden="false" customHeight="false" outlineLevel="0" collapsed="false">
      <c r="A107" s="81" t="n">
        <v>45655</v>
      </c>
      <c r="B107" s="27" t="n">
        <v>1824.7</v>
      </c>
      <c r="C107" s="27" t="n">
        <v>24004.75</v>
      </c>
      <c r="E107" s="27" t="n">
        <v>2337.55</v>
      </c>
      <c r="F107" s="27" t="n">
        <v>7745.2</v>
      </c>
      <c r="G107" s="27" t="n">
        <v>366.75</v>
      </c>
      <c r="H107" s="72" t="n">
        <f aca="false">B107/B108-1</f>
        <v>0.0700170058054301</v>
      </c>
      <c r="I107" s="72" t="n">
        <f aca="false">C107/C108-1</f>
        <v>0.00803539183820878</v>
      </c>
      <c r="K107" s="72" t="n">
        <f aca="false">E107/E108-1</f>
        <v>0.127644178586073</v>
      </c>
      <c r="L107" s="72" t="n">
        <f aca="false">F107/F108-1</f>
        <v>0.0406088983534754</v>
      </c>
      <c r="M107" s="72" t="n">
        <f aca="false">G107/G108-1</f>
        <v>-0.0746814683991423</v>
      </c>
    </row>
    <row r="108" customFormat="false" ht="15" hidden="false" customHeight="false" outlineLevel="0" collapsed="false">
      <c r="A108" s="81" t="n">
        <v>45648</v>
      </c>
      <c r="B108" s="27" t="n">
        <v>1705.3</v>
      </c>
      <c r="C108" s="27" t="n">
        <v>23813.4</v>
      </c>
      <c r="E108" s="27" t="n">
        <v>2072.95</v>
      </c>
      <c r="F108" s="27" t="n">
        <v>7442.95</v>
      </c>
      <c r="G108" s="27" t="n">
        <v>396.35</v>
      </c>
      <c r="H108" s="72" t="n">
        <f aca="false">B108/B109-1</f>
        <v>0.0111473465757486</v>
      </c>
      <c r="I108" s="72" t="n">
        <f aca="false">C108/C109-1</f>
        <v>0.00957710651828303</v>
      </c>
      <c r="K108" s="72" t="n">
        <f aca="false">E108/E109-1</f>
        <v>0.04826801517067</v>
      </c>
      <c r="L108" s="72" t="n">
        <f aca="false">F108/F109-1</f>
        <v>0.215592284701694</v>
      </c>
      <c r="M108" s="72" t="n">
        <f aca="false">G108/G109-1</f>
        <v>0.0208628461043143</v>
      </c>
    </row>
    <row r="109" customFormat="false" ht="15" hidden="false" customHeight="false" outlineLevel="0" collapsed="false">
      <c r="A109" s="81" t="n">
        <v>45641</v>
      </c>
      <c r="B109" s="27" t="n">
        <v>1686.5</v>
      </c>
      <c r="C109" s="27" t="n">
        <v>23587.5</v>
      </c>
      <c r="E109" s="27" t="n">
        <v>1977.5</v>
      </c>
      <c r="F109" s="27" t="n">
        <v>6122.9</v>
      </c>
      <c r="G109" s="27" t="n">
        <v>388.25</v>
      </c>
      <c r="H109" s="72" t="n">
        <f aca="false">B109/B110-1</f>
        <v>-0.0669432918395574</v>
      </c>
      <c r="I109" s="72" t="n">
        <f aca="false">C109/C110-1</f>
        <v>-0.0476738411598696</v>
      </c>
      <c r="K109" s="72" t="n">
        <f aca="false">E109/E110-1</f>
        <v>-0.0532388567051275</v>
      </c>
      <c r="L109" s="72" t="n">
        <f aca="false">F109/F110-1</f>
        <v>0.0579799044467675</v>
      </c>
      <c r="M109" s="72" t="n">
        <f aca="false">G109/G110-1</f>
        <v>-0.0562712688381137</v>
      </c>
    </row>
    <row r="110" customFormat="false" ht="15" hidden="false" customHeight="false" outlineLevel="0" collapsed="false">
      <c r="A110" s="81" t="n">
        <v>45634</v>
      </c>
      <c r="B110" s="27" t="n">
        <v>1807.5</v>
      </c>
      <c r="C110" s="27" t="n">
        <v>24768.3</v>
      </c>
      <c r="E110" s="27" t="n">
        <v>2088.7</v>
      </c>
      <c r="F110" s="27" t="n">
        <v>5787.35</v>
      </c>
      <c r="G110" s="27" t="n">
        <v>411.4</v>
      </c>
      <c r="H110" s="72" t="n">
        <f aca="false">B110/B111-1</f>
        <v>0.0564615114851832</v>
      </c>
      <c r="I110" s="72" t="n">
        <f aca="false">C110/C111-1</f>
        <v>0.00366726369449455</v>
      </c>
      <c r="K110" s="72" t="n">
        <f aca="false">E110/E111-1</f>
        <v>0.00319396748397005</v>
      </c>
      <c r="L110" s="72" t="n">
        <f aca="false">F110/F111-1</f>
        <v>-0.00328944535817921</v>
      </c>
      <c r="M110" s="72" t="n">
        <f aca="false">G110/G111-1</f>
        <v>0.0128015755785327</v>
      </c>
    </row>
    <row r="111" customFormat="false" ht="15" hidden="false" customHeight="false" outlineLevel="0" collapsed="false">
      <c r="A111" s="81" t="n">
        <v>45627</v>
      </c>
      <c r="B111" s="27" t="n">
        <v>1710.9</v>
      </c>
      <c r="C111" s="27" t="n">
        <v>24677.8</v>
      </c>
      <c r="E111" s="27" t="n">
        <v>2082.05</v>
      </c>
      <c r="F111" s="27" t="n">
        <v>5806.45</v>
      </c>
      <c r="G111" s="27" t="n">
        <v>406.2</v>
      </c>
      <c r="H111" s="72" t="n">
        <f aca="false">B111/B112-1</f>
        <v>0.0317503392130258</v>
      </c>
      <c r="I111" s="72" t="n">
        <f aca="false">C111/C112-1</f>
        <v>0.0226554114814492</v>
      </c>
      <c r="K111" s="72" t="n">
        <f aca="false">E111/E112-1</f>
        <v>0.123549727483676</v>
      </c>
      <c r="L111" s="72" t="n">
        <f aca="false">F111/F112-1</f>
        <v>-0.0426219507168237</v>
      </c>
      <c r="M111" s="72" t="n">
        <f aca="false">G111/G112-1</f>
        <v>-0.00854283622162555</v>
      </c>
    </row>
    <row r="112" customFormat="false" ht="15" hidden="false" customHeight="false" outlineLevel="0" collapsed="false">
      <c r="A112" s="81" t="n">
        <v>45620</v>
      </c>
      <c r="B112" s="27" t="n">
        <v>1658.25</v>
      </c>
      <c r="C112" s="27" t="n">
        <v>24131.1</v>
      </c>
      <c r="E112" s="27" t="n">
        <v>1853.1</v>
      </c>
      <c r="F112" s="27" t="n">
        <v>6064.95</v>
      </c>
      <c r="G112" s="27" t="n">
        <v>409.7</v>
      </c>
      <c r="H112" s="72" t="n">
        <f aca="false">B112/B113-1</f>
        <v>0.0029333494617152</v>
      </c>
      <c r="I112" s="72" t="n">
        <f aca="false">C112/C113-1</f>
        <v>0.00936326846458702</v>
      </c>
      <c r="K112" s="72" t="n">
        <f aca="false">E112/E113-1</f>
        <v>0.00824287929486656</v>
      </c>
      <c r="L112" s="72" t="n">
        <f aca="false">F112/F113-1</f>
        <v>-0.0644984652403944</v>
      </c>
      <c r="M112" s="72" t="n">
        <f aca="false">G112/G113-1</f>
        <v>0.0423610227706399</v>
      </c>
    </row>
    <row r="113" customFormat="false" ht="15" hidden="false" customHeight="false" outlineLevel="0" collapsed="false">
      <c r="A113" s="81" t="n">
        <v>45613</v>
      </c>
      <c r="B113" s="27" t="n">
        <v>1653.4</v>
      </c>
      <c r="C113" s="27" t="n">
        <v>23907.25</v>
      </c>
      <c r="E113" s="27" t="n">
        <v>1837.95</v>
      </c>
      <c r="F113" s="27" t="n">
        <v>6483.1</v>
      </c>
      <c r="G113" s="27" t="n">
        <v>393.05</v>
      </c>
      <c r="H113" s="72" t="n">
        <f aca="false">B113/B114-1</f>
        <v>-0.0323071520543133</v>
      </c>
      <c r="I113" s="72" t="n">
        <f aca="false">C113/C114-1</f>
        <v>0.0159161507179371</v>
      </c>
      <c r="K113" s="72" t="n">
        <f aca="false">E113/E114-1</f>
        <v>0.0163123116480965</v>
      </c>
      <c r="L113" s="72" t="n">
        <f aca="false">F113/F114-1</f>
        <v>0.0594079630038156</v>
      </c>
      <c r="M113" s="72" t="n">
        <f aca="false">G113/G114-1</f>
        <v>0.0592912006468132</v>
      </c>
    </row>
    <row r="114" customFormat="false" ht="15" hidden="false" customHeight="false" outlineLevel="0" collapsed="false">
      <c r="A114" s="81" t="n">
        <v>45606</v>
      </c>
      <c r="B114" s="27" t="n">
        <v>1708.6</v>
      </c>
      <c r="C114" s="27" t="n">
        <v>23532.7</v>
      </c>
      <c r="E114" s="27" t="n">
        <v>1808.45</v>
      </c>
      <c r="F114" s="27" t="n">
        <v>6119.55</v>
      </c>
      <c r="G114" s="27" t="n">
        <v>371.05</v>
      </c>
      <c r="H114" s="72" t="n">
        <f aca="false">B114/B115-1</f>
        <v>-0.0325028312570782</v>
      </c>
      <c r="I114" s="72" t="n">
        <f aca="false">C114/C115-1</f>
        <v>-0.0254884422027315</v>
      </c>
      <c r="K114" s="72" t="n">
        <f aca="false">E114/E115-1</f>
        <v>0.0116919806438982</v>
      </c>
      <c r="L114" s="72" t="n">
        <f aca="false">F114/F115-1</f>
        <v>-0.00560606429912014</v>
      </c>
      <c r="M114" s="72" t="n">
        <f aca="false">G114/G115-1</f>
        <v>-0.0691169091821375</v>
      </c>
    </row>
    <row r="115" customFormat="false" ht="15" hidden="false" customHeight="false" outlineLevel="0" collapsed="false">
      <c r="A115" s="81" t="n">
        <v>45599</v>
      </c>
      <c r="B115" s="27" t="n">
        <v>1766</v>
      </c>
      <c r="C115" s="27" t="n">
        <v>24148.2</v>
      </c>
      <c r="E115" s="27" t="n">
        <v>1787.55</v>
      </c>
      <c r="F115" s="27" t="n">
        <v>6154.05</v>
      </c>
      <c r="G115" s="27" t="n">
        <v>398.6</v>
      </c>
      <c r="H115" s="72" t="n">
        <f aca="false">B115/B116-1</f>
        <v>0.0749611954834586</v>
      </c>
      <c r="I115" s="72" t="n">
        <f aca="false">C115/C116-1</f>
        <v>-0.00642477581173728</v>
      </c>
      <c r="K115" s="72" t="n">
        <f aca="false">E115/E116-1</f>
        <v>-0.0675760262897084</v>
      </c>
      <c r="L115" s="72" t="n">
        <f aca="false">F115/F116-1</f>
        <v>-0.00111995714946556</v>
      </c>
      <c r="M115" s="72" t="n">
        <f aca="false">G115/G116-1</f>
        <v>0.0164477878362872</v>
      </c>
    </row>
    <row r="116" customFormat="false" ht="15" hidden="false" customHeight="false" outlineLevel="0" collapsed="false">
      <c r="A116" s="81" t="n">
        <v>45592</v>
      </c>
      <c r="B116" s="27" t="n">
        <v>1642.85</v>
      </c>
      <c r="C116" s="27" t="n">
        <v>24304.35</v>
      </c>
      <c r="E116" s="27" t="n">
        <v>1917.1</v>
      </c>
      <c r="F116" s="27" t="n">
        <v>6160.95</v>
      </c>
      <c r="G116" s="27" t="n">
        <v>392.15</v>
      </c>
      <c r="H116" s="72" t="n">
        <f aca="false">B116/B117-1</f>
        <v>-0.0638231187850814</v>
      </c>
      <c r="I116" s="72" t="n">
        <f aca="false">C116/C117-1</f>
        <v>0.0051094256600277</v>
      </c>
      <c r="K116" s="72" t="n">
        <f aca="false">E116/E117-1</f>
        <v>0.0367466133088175</v>
      </c>
      <c r="L116" s="72" t="n">
        <f aca="false">F116/F117-1</f>
        <v>-0.00166094114596838</v>
      </c>
      <c r="M116" s="72" t="n">
        <f aca="false">G116/G117-1</f>
        <v>0.0005102691669856</v>
      </c>
    </row>
    <row r="117" customFormat="false" ht="15" hidden="false" customHeight="false" outlineLevel="0" collapsed="false">
      <c r="A117" s="81" t="n">
        <v>45585</v>
      </c>
      <c r="B117" s="27" t="n">
        <v>1754.85</v>
      </c>
      <c r="C117" s="27" t="n">
        <v>24180.8</v>
      </c>
      <c r="E117" s="27" t="n">
        <v>1849.15</v>
      </c>
      <c r="F117" s="27" t="n">
        <v>6171.2</v>
      </c>
      <c r="G117" s="27" t="n">
        <v>391.95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7" t="s">
        <v>849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false" outlineLevel="0" collapsed="false">
      <c r="A3" s="51" t="s">
        <v>850</v>
      </c>
      <c r="B3" s="52"/>
      <c r="C3" s="52"/>
      <c r="D3" s="52"/>
      <c r="E3" s="52"/>
      <c r="F3" s="52"/>
      <c r="G3" s="52"/>
      <c r="H3" s="52"/>
      <c r="I3" s="52"/>
      <c r="J3" s="52"/>
    </row>
    <row r="4" customFormat="false" ht="31.5" hidden="false" customHeight="true" outlineLevel="0" collapsed="false">
      <c r="A4" s="19" t="s">
        <v>851</v>
      </c>
      <c r="B4" s="19" t="s">
        <v>852</v>
      </c>
      <c r="C4" s="19" t="s">
        <v>815</v>
      </c>
      <c r="D4" s="19" t="s">
        <v>817</v>
      </c>
      <c r="E4" s="19" t="s">
        <v>853</v>
      </c>
      <c r="F4" s="19" t="s">
        <v>854</v>
      </c>
      <c r="G4" s="19" t="s">
        <v>855</v>
      </c>
      <c r="H4" s="19" t="s">
        <v>856</v>
      </c>
      <c r="I4" s="19" t="s">
        <v>857</v>
      </c>
      <c r="J4" s="19" t="s">
        <v>858</v>
      </c>
    </row>
    <row r="5" customFormat="false" ht="15" hidden="false" customHeight="false" outlineLevel="0" collapsed="false">
      <c r="A5" s="7" t="s">
        <v>828</v>
      </c>
      <c r="B5" s="7" t="s">
        <v>859</v>
      </c>
      <c r="C5" s="28" t="n">
        <f aca="false">Market_Data!C4</f>
        <v>1718</v>
      </c>
      <c r="D5" s="28" t="n">
        <f aca="false">Market_Data!E4</f>
        <v>67.88</v>
      </c>
      <c r="E5" s="24" t="n">
        <f aca="false">Market_Data!D4</f>
        <v>459</v>
      </c>
      <c r="F5" s="24" t="n">
        <f aca="false">Market_Data!F4</f>
        <v>116618</v>
      </c>
      <c r="G5" s="61" t="n">
        <v>0.25</v>
      </c>
      <c r="H5" s="31" t="n">
        <f aca="false">E5/(E5+F5)</f>
        <v>0.00392049676708491</v>
      </c>
      <c r="I5" s="35" t="n">
        <f aca="false">Market_Data!D10</f>
        <v>0.740250793866333</v>
      </c>
      <c r="J5" s="82" t="n">
        <f aca="false">I5/(1+(1-G5)*E5/F5)</f>
        <v>0.738072045289006</v>
      </c>
    </row>
    <row r="6" customFormat="false" ht="15" hidden="false" customHeight="false" outlineLevel="0" collapsed="false">
      <c r="A6" s="7" t="s">
        <v>829</v>
      </c>
      <c r="B6" s="7" t="s">
        <v>859</v>
      </c>
      <c r="C6" s="28" t="n">
        <f aca="false">Market_Data!C5</f>
        <v>1032.85</v>
      </c>
      <c r="D6" s="28" t="n">
        <f aca="false">Market_Data!E5</f>
        <v>33.09</v>
      </c>
      <c r="E6" s="24" t="n">
        <f aca="false">Market_Data!D5</f>
        <v>992</v>
      </c>
      <c r="F6" s="24" t="n">
        <f aca="false">Market_Data!F5</f>
        <v>34177</v>
      </c>
      <c r="G6" s="61" t="n">
        <v>0.25</v>
      </c>
      <c r="H6" s="31" t="n">
        <f aca="false">E6/(E6+F6)</f>
        <v>0.0282066592737923</v>
      </c>
      <c r="I6" s="35" t="n">
        <f aca="false">Market_Data!B10</f>
        <v>0.932207026918339</v>
      </c>
      <c r="J6" s="82" t="n">
        <f aca="false">I6/(1+(1-G6)*E6/F6)</f>
        <v>0.912346140115921</v>
      </c>
    </row>
    <row r="7" customFormat="false" ht="15" hidden="false" customHeight="false" outlineLevel="0" collapsed="false">
      <c r="A7" s="7" t="s">
        <v>830</v>
      </c>
      <c r="B7" s="7" t="s">
        <v>859</v>
      </c>
      <c r="C7" s="28" t="n">
        <f aca="false">Market_Data!C6</f>
        <v>1571.75</v>
      </c>
      <c r="D7" s="28" t="n">
        <f aca="false">Market_Data!E6</f>
        <v>20.56</v>
      </c>
      <c r="E7" s="24" t="n">
        <f aca="false">Market_Data!D6</f>
        <v>810</v>
      </c>
      <c r="F7" s="24" t="n">
        <f aca="false">Market_Data!F6</f>
        <v>32315</v>
      </c>
      <c r="G7" s="61" t="n">
        <v>0.25</v>
      </c>
      <c r="H7" s="31" t="n">
        <f aca="false">E7/(E7+F7)</f>
        <v>0.0244528301886792</v>
      </c>
      <c r="I7" s="35" t="n">
        <f aca="false">Market_Data!E10</f>
        <v>1.1809716254796</v>
      </c>
      <c r="J7" s="82" t="n">
        <f aca="false">I7/(1+(1-G7)*E7/F7)</f>
        <v>1.15917983377245</v>
      </c>
    </row>
    <row r="8" customFormat="false" ht="15" hidden="false" customHeight="false" outlineLevel="0" collapsed="false">
      <c r="A8" s="7" t="s">
        <v>831</v>
      </c>
      <c r="B8" s="7" t="s">
        <v>859</v>
      </c>
      <c r="C8" s="28" t="n">
        <f aca="false">Market_Data!C7</f>
        <v>6688.55</v>
      </c>
      <c r="D8" s="28" t="n">
        <f aca="false">Market_Data!E7</f>
        <v>3.53</v>
      </c>
      <c r="E8" s="24" t="n">
        <f aca="false">Market_Data!D7</f>
        <v>2702</v>
      </c>
      <c r="F8" s="24" t="n">
        <f aca="false">Market_Data!F7</f>
        <v>23611</v>
      </c>
      <c r="G8" s="61" t="n">
        <v>0.25</v>
      </c>
      <c r="H8" s="31" t="n">
        <f aca="false">E8/(E8+F8)</f>
        <v>0.10268688480979</v>
      </c>
      <c r="I8" s="35" t="n">
        <f aca="false">Market_Data!F10</f>
        <v>1.63162390780663</v>
      </c>
      <c r="J8" s="82" t="n">
        <f aca="false">I8/(1+(1-G8)*E8/F8)</f>
        <v>1.50265322622027</v>
      </c>
    </row>
    <row r="9" customFormat="false" ht="15" hidden="false" customHeight="false" outlineLevel="0" collapsed="false">
      <c r="A9" s="7" t="s">
        <v>832</v>
      </c>
      <c r="B9" s="7" t="s">
        <v>859</v>
      </c>
      <c r="C9" s="28" t="n">
        <f aca="false">Market_Data!C8</f>
        <v>216.55</v>
      </c>
      <c r="D9" s="28" t="n">
        <f aca="false">Market_Data!E8</f>
        <v>64.39</v>
      </c>
      <c r="E9" s="24" t="n">
        <f aca="false">Market_Data!D8</f>
        <v>192</v>
      </c>
      <c r="F9" s="24" t="n">
        <f aca="false">Market_Data!F8</f>
        <v>13944</v>
      </c>
      <c r="G9" s="61" t="n">
        <v>0.25</v>
      </c>
      <c r="H9" s="31" t="n">
        <f aca="false">E9/(E9+F9)</f>
        <v>0.0135823429541596</v>
      </c>
      <c r="I9" s="35" t="n">
        <f aca="false">Market_Data!G10</f>
        <v>1.13739034533582</v>
      </c>
      <c r="J9" s="82" t="n">
        <f aca="false">I9/(1+(1-G9)*E9/F9)</f>
        <v>1.12576454964244</v>
      </c>
    </row>
    <row r="10" customFormat="false" ht="15" hidden="false" customHeight="false" outlineLevel="0" collapsed="false">
      <c r="G10" s="5" t="s">
        <v>860</v>
      </c>
      <c r="H10" s="83" t="n">
        <f aca="false">AVERAGE(H5:H9)</f>
        <v>0.0345698427987012</v>
      </c>
      <c r="I10" s="84" t="n">
        <f aca="false">AVERAGE(I5:I9)</f>
        <v>1.12448873988134</v>
      </c>
      <c r="J10" s="84" t="n">
        <f aca="false">AVERAGE(J5:J9)</f>
        <v>1.08760315900802</v>
      </c>
    </row>
    <row r="11" customFormat="false" ht="15" hidden="false" customHeight="false" outlineLevel="0" collapsed="false">
      <c r="G11" s="5" t="s">
        <v>861</v>
      </c>
      <c r="H11" s="83" t="n">
        <f aca="false">MEDIAN(H5:H9)</f>
        <v>0.0244528301886792</v>
      </c>
      <c r="I11" s="84" t="n">
        <f aca="false">MEDIAN(I5:I9)</f>
        <v>1.13739034533582</v>
      </c>
      <c r="J11" s="84" t="n">
        <f aca="false">MEDIAN(J5:J9)</f>
        <v>1.12576454964244</v>
      </c>
    </row>
    <row r="13" customFormat="false" ht="15" hidden="false" customHeight="false" outlineLevel="0" collapsed="false">
      <c r="A13" s="4" t="s">
        <v>862</v>
      </c>
      <c r="B13" s="2"/>
      <c r="C13" s="2"/>
    </row>
    <row r="14" customFormat="false" ht="15" hidden="false" customHeight="false" outlineLevel="0" collapsed="false">
      <c r="A14" s="7" t="s">
        <v>863</v>
      </c>
      <c r="B14" s="61" t="n">
        <v>0.074</v>
      </c>
    </row>
    <row r="15" customFormat="false" ht="15" hidden="false" customHeight="false" outlineLevel="0" collapsed="false">
      <c r="A15" s="7" t="s">
        <v>864</v>
      </c>
      <c r="B15" s="61" t="n">
        <v>0.006</v>
      </c>
    </row>
    <row r="16" customFormat="false" ht="15" hidden="false" customHeight="false" outlineLevel="0" collapsed="false">
      <c r="A16" s="7" t="s">
        <v>865</v>
      </c>
      <c r="B16" s="31" t="n">
        <f aca="false">B14+B15</f>
        <v>0.08</v>
      </c>
    </row>
    <row r="17" customFormat="false" ht="15" hidden="false" customHeight="false" outlineLevel="0" collapsed="false">
      <c r="A17" s="7" t="s">
        <v>855</v>
      </c>
      <c r="B17" s="61" t="n">
        <v>0.25</v>
      </c>
    </row>
    <row r="18" customFormat="false" ht="15" hidden="false" customHeight="false" outlineLevel="0" collapsed="false">
      <c r="A18" s="5" t="s">
        <v>866</v>
      </c>
      <c r="B18" s="83" t="n">
        <f aca="false">B16*(1-B17)</f>
        <v>0.06</v>
      </c>
    </row>
    <row r="20" customFormat="false" ht="15" hidden="false" customHeight="false" outlineLevel="0" collapsed="false">
      <c r="A20" s="4" t="s">
        <v>867</v>
      </c>
      <c r="B20" s="2"/>
      <c r="C20" s="2"/>
      <c r="D20" s="2"/>
    </row>
    <row r="21" customFormat="false" ht="15" hidden="false" customHeight="false" outlineLevel="0" collapsed="false">
      <c r="A21" s="19"/>
      <c r="B21" s="19" t="s">
        <v>868</v>
      </c>
      <c r="C21" s="19" t="s">
        <v>869</v>
      </c>
      <c r="D21" s="19" t="s">
        <v>870</v>
      </c>
    </row>
    <row r="22" customFormat="false" ht="15" hidden="false" customHeight="false" outlineLevel="0" collapsed="false">
      <c r="A22" s="7" t="s">
        <v>853</v>
      </c>
      <c r="B22" s="59" t="n">
        <f aca="false">E6</f>
        <v>992</v>
      </c>
      <c r="C22" s="31" t="n">
        <f aca="false">B22/B24</f>
        <v>0.0282066592737923</v>
      </c>
      <c r="D22" s="61" t="n">
        <v>0.02</v>
      </c>
    </row>
    <row r="23" customFormat="false" ht="15" hidden="false" customHeight="false" outlineLevel="0" collapsed="false">
      <c r="A23" s="7" t="s">
        <v>871</v>
      </c>
      <c r="B23" s="59" t="n">
        <f aca="false">F6</f>
        <v>34177</v>
      </c>
      <c r="C23" s="31" t="n">
        <f aca="false">B23/B24</f>
        <v>0.971793340726208</v>
      </c>
      <c r="D23" s="31" t="n">
        <f aca="false">1-D22</f>
        <v>0.98</v>
      </c>
    </row>
    <row r="24" customFormat="false" ht="15" hidden="false" customHeight="false" outlineLevel="0" collapsed="false">
      <c r="A24" s="7" t="s">
        <v>872</v>
      </c>
      <c r="B24" s="69" t="n">
        <f aca="false">B22+B23</f>
        <v>35169</v>
      </c>
      <c r="C24" s="31" t="n">
        <f aca="false">C22+C23</f>
        <v>1</v>
      </c>
      <c r="D24" s="31" t="n">
        <f aca="false">D22+D23</f>
        <v>1</v>
      </c>
    </row>
    <row r="25" customFormat="false" ht="15" hidden="false" customHeight="false" outlineLevel="0" collapsed="false">
      <c r="A25" s="7" t="s">
        <v>873</v>
      </c>
      <c r="B25" s="31" t="n">
        <f aca="false">B22/B23</f>
        <v>0.0290253679375018</v>
      </c>
      <c r="D25" s="61" t="n">
        <v>0.02</v>
      </c>
    </row>
    <row r="27" customFormat="false" ht="15" hidden="false" customHeight="false" outlineLevel="0" collapsed="false">
      <c r="A27" s="4" t="s">
        <v>874</v>
      </c>
      <c r="B27" s="2"/>
      <c r="C27" s="2"/>
    </row>
    <row r="28" customFormat="false" ht="15" hidden="false" customHeight="false" outlineLevel="0" collapsed="false">
      <c r="A28" s="7" t="s">
        <v>875</v>
      </c>
      <c r="B28" s="85" t="n">
        <f aca="false">J11</f>
        <v>1.12576454964244</v>
      </c>
    </row>
    <row r="29" customFormat="false" ht="15" hidden="false" customHeight="false" outlineLevel="0" collapsed="false">
      <c r="A29" s="7" t="s">
        <v>876</v>
      </c>
      <c r="B29" s="31" t="n">
        <f aca="false">D25</f>
        <v>0.02</v>
      </c>
    </row>
    <row r="30" customFormat="false" ht="15" hidden="false" customHeight="false" outlineLevel="0" collapsed="false">
      <c r="A30" s="7" t="s">
        <v>855</v>
      </c>
      <c r="B30" s="31" t="n">
        <f aca="false">B17</f>
        <v>0.25</v>
      </c>
    </row>
    <row r="31" customFormat="false" ht="15" hidden="false" customHeight="false" outlineLevel="0" collapsed="false">
      <c r="A31" s="5" t="s">
        <v>857</v>
      </c>
      <c r="B31" s="80" t="n">
        <f aca="false">B28*(1+(1-B30)*B29)</f>
        <v>1.14265101788708</v>
      </c>
    </row>
    <row r="33" customFormat="false" ht="15" hidden="false" customHeight="false" outlineLevel="0" collapsed="false">
      <c r="A33" s="4" t="s">
        <v>877</v>
      </c>
      <c r="B33" s="2"/>
      <c r="C33" s="2"/>
    </row>
    <row r="34" customFormat="false" ht="15" hidden="false" customHeight="false" outlineLevel="0" collapsed="false">
      <c r="A34" s="7" t="s">
        <v>863</v>
      </c>
      <c r="B34" s="31" t="n">
        <f aca="false">B14</f>
        <v>0.074</v>
      </c>
    </row>
    <row r="35" customFormat="false" ht="15" hidden="false" customHeight="false" outlineLevel="0" collapsed="false">
      <c r="A35" s="7" t="s">
        <v>878</v>
      </c>
      <c r="B35" s="61" t="n">
        <v>0.056</v>
      </c>
    </row>
    <row r="36" customFormat="false" ht="15" hidden="false" customHeight="false" outlineLevel="0" collapsed="false">
      <c r="A36" s="7" t="s">
        <v>857</v>
      </c>
      <c r="B36" s="85" t="n">
        <f aca="false">B31</f>
        <v>1.14265101788708</v>
      </c>
    </row>
    <row r="37" customFormat="false" ht="15" hidden="false" customHeight="false" outlineLevel="0" collapsed="false">
      <c r="A37" s="5" t="s">
        <v>877</v>
      </c>
      <c r="B37" s="86" t="n">
        <f aca="false">B34+B36*B35</f>
        <v>0.137988457001676</v>
      </c>
    </row>
    <row r="39" customFormat="false" ht="15" hidden="false" customHeight="false" outlineLevel="0" collapsed="false">
      <c r="A39" s="4" t="s">
        <v>879</v>
      </c>
      <c r="B39" s="2"/>
      <c r="C39" s="2"/>
    </row>
    <row r="40" customFormat="false" ht="15" hidden="false" customHeight="false" outlineLevel="0" collapsed="false">
      <c r="A40" s="7" t="s">
        <v>877</v>
      </c>
      <c r="B40" s="72" t="n">
        <f aca="false">B37</f>
        <v>0.137988457001676</v>
      </c>
    </row>
    <row r="41" customFormat="false" ht="15" hidden="false" customHeight="false" outlineLevel="0" collapsed="false">
      <c r="A41" s="7" t="s">
        <v>880</v>
      </c>
      <c r="B41" s="31" t="n">
        <f aca="false">D23</f>
        <v>0.98</v>
      </c>
    </row>
    <row r="42" customFormat="false" ht="15" hidden="false" customHeight="false" outlineLevel="0" collapsed="false">
      <c r="A42" s="7" t="s">
        <v>881</v>
      </c>
      <c r="B42" s="72" t="n">
        <f aca="false">B18</f>
        <v>0.06</v>
      </c>
    </row>
    <row r="43" customFormat="false" ht="15" hidden="false" customHeight="false" outlineLevel="0" collapsed="false">
      <c r="A43" s="7" t="s">
        <v>882</v>
      </c>
      <c r="B43" s="31" t="n">
        <f aca="false">D22</f>
        <v>0.02</v>
      </c>
    </row>
    <row r="44" customFormat="false" ht="15" hidden="false" customHeight="false" outlineLevel="0" collapsed="false">
      <c r="A44" s="5" t="s">
        <v>77</v>
      </c>
      <c r="B44" s="87" t="n">
        <f aca="false">B40*B41+B42*B43</f>
        <v>0.136428687861643</v>
      </c>
    </row>
    <row r="46" customFormat="false" ht="15" hidden="false" customHeight="false" outlineLevel="0" collapsed="false">
      <c r="A46" s="4" t="s">
        <v>883</v>
      </c>
      <c r="B46" s="2"/>
      <c r="C46" s="2"/>
    </row>
    <row r="47" customFormat="false" ht="15" hidden="false" customHeight="false" outlineLevel="0" collapsed="false">
      <c r="A47" s="7" t="s">
        <v>863</v>
      </c>
      <c r="B47" s="31" t="n">
        <f aca="false">B14</f>
        <v>0.074</v>
      </c>
    </row>
    <row r="48" customFormat="false" ht="15" hidden="false" customHeight="false" outlineLevel="0" collapsed="false">
      <c r="A48" s="7" t="s">
        <v>878</v>
      </c>
      <c r="B48" s="31" t="n">
        <f aca="false">B35</f>
        <v>0.056</v>
      </c>
    </row>
    <row r="49" customFormat="false" ht="15" hidden="false" customHeight="false" outlineLevel="0" collapsed="false">
      <c r="A49" s="7" t="s">
        <v>884</v>
      </c>
      <c r="B49" s="88" t="n">
        <v>1</v>
      </c>
    </row>
    <row r="50" customFormat="false" ht="15" hidden="false" customHeight="false" outlineLevel="0" collapsed="false">
      <c r="A50" s="7" t="s">
        <v>877</v>
      </c>
      <c r="B50" s="72" t="n">
        <f aca="false">B47+B49*B48</f>
        <v>0.13</v>
      </c>
    </row>
    <row r="51" customFormat="false" ht="15" hidden="false" customHeight="false" outlineLevel="0" collapsed="false">
      <c r="A51" s="7" t="s">
        <v>880</v>
      </c>
      <c r="B51" s="31" t="n">
        <f aca="false">D23</f>
        <v>0.98</v>
      </c>
    </row>
    <row r="52" customFormat="false" ht="15" hidden="false" customHeight="false" outlineLevel="0" collapsed="false">
      <c r="A52" s="7" t="s">
        <v>881</v>
      </c>
      <c r="B52" s="72" t="n">
        <f aca="false">B18</f>
        <v>0.06</v>
      </c>
    </row>
    <row r="53" customFormat="false" ht="15" hidden="false" customHeight="false" outlineLevel="0" collapsed="false">
      <c r="A53" s="7" t="s">
        <v>882</v>
      </c>
      <c r="B53" s="31" t="n">
        <f aca="false">D22</f>
        <v>0.02</v>
      </c>
    </row>
    <row r="54" customFormat="false" ht="15" hidden="false" customHeight="false" outlineLevel="0" collapsed="false">
      <c r="A54" s="5" t="s">
        <v>885</v>
      </c>
      <c r="B54" s="87" t="n">
        <f aca="false">B50*B51+B52*B53</f>
        <v>0.1286</v>
      </c>
    </row>
    <row r="56" customFormat="false" ht="15" hidden="false" customHeight="false" outlineLevel="0" collapsed="false">
      <c r="A56" s="18" t="s">
        <v>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17" t="s">
        <v>887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18" t="s">
        <v>888</v>
      </c>
    </row>
    <row r="4" customFormat="false" ht="15" hidden="false" customHeight="false" outlineLevel="0" collapsed="false">
      <c r="A4" s="51" t="s">
        <v>889</v>
      </c>
      <c r="B4" s="52"/>
      <c r="C4" s="52"/>
      <c r="D4" s="52"/>
      <c r="E4" s="52"/>
      <c r="F4" s="52"/>
      <c r="G4" s="52"/>
      <c r="H4" s="52"/>
    </row>
    <row r="5" customFormat="false" ht="15" hidden="false" customHeight="false" outlineLevel="0" collapsed="false">
      <c r="A5" s="89" t="s">
        <v>485</v>
      </c>
      <c r="B5" s="89"/>
      <c r="C5" s="89" t="s">
        <v>890</v>
      </c>
      <c r="D5" s="89" t="s">
        <v>891</v>
      </c>
      <c r="E5" s="89" t="s">
        <v>892</v>
      </c>
      <c r="F5" s="89" t="s">
        <v>893</v>
      </c>
      <c r="G5" s="89" t="s">
        <v>894</v>
      </c>
      <c r="H5" s="90" t="s">
        <v>895</v>
      </c>
    </row>
    <row r="6" customFormat="false" ht="15" hidden="false" customHeight="false" outlineLevel="0" collapsed="false">
      <c r="A6" s="7" t="s">
        <v>896</v>
      </c>
      <c r="C6" s="24" t="n">
        <f aca="false">Cash_Flow!G43</f>
        <v>400.025393479149</v>
      </c>
      <c r="D6" s="24" t="n">
        <f aca="false">Cash_Flow!H43</f>
        <v>240.448858191215</v>
      </c>
      <c r="E6" s="24" t="n">
        <f aca="false">Cash_Flow!I43</f>
        <v>676.313862833342</v>
      </c>
      <c r="F6" s="24" t="n">
        <f aca="false">Cash_Flow!J43</f>
        <v>290.600322951637</v>
      </c>
      <c r="G6" s="24" t="n">
        <f aca="false">Cash_Flow!K43</f>
        <v>963.191007209234</v>
      </c>
    </row>
    <row r="7" customFormat="false" ht="15" hidden="false" customHeight="false" outlineLevel="0" collapsed="false">
      <c r="A7" s="7" t="s">
        <v>897</v>
      </c>
      <c r="C7" s="88" t="n">
        <v>0.5</v>
      </c>
      <c r="D7" s="82" t="n">
        <f aca="false">C7+1</f>
        <v>1.5</v>
      </c>
      <c r="E7" s="82" t="n">
        <f aca="false">D7+1</f>
        <v>2.5</v>
      </c>
      <c r="F7" s="82" t="n">
        <f aca="false">E7+1</f>
        <v>3.5</v>
      </c>
      <c r="G7" s="82" t="n">
        <f aca="false">F7+1</f>
        <v>4.5</v>
      </c>
    </row>
    <row r="8" customFormat="false" ht="15" hidden="false" customHeight="false" outlineLevel="0" collapsed="false">
      <c r="A8" s="7" t="s">
        <v>898</v>
      </c>
      <c r="C8" s="85" t="n">
        <f aca="false">1/(1+$B$14)^C7</f>
        <v>0.93805630268314</v>
      </c>
      <c r="D8" s="85" t="n">
        <f aca="false">1/(1+$B$14)^D7</f>
        <v>0.825442293654369</v>
      </c>
      <c r="E8" s="85" t="n">
        <f aca="false">1/(1+$B$14)^E7</f>
        <v>0.726347638414127</v>
      </c>
      <c r="F8" s="85" t="n">
        <f aca="false">1/(1+$B$14)^F7</f>
        <v>0.639149333497429</v>
      </c>
      <c r="G8" s="85" t="n">
        <f aca="false">1/(1+$B$14)^G7</f>
        <v>0.562419217610638</v>
      </c>
    </row>
    <row r="9" customFormat="false" ht="15" hidden="false" customHeight="false" outlineLevel="0" collapsed="false">
      <c r="A9" s="5" t="s">
        <v>899</v>
      </c>
      <c r="C9" s="69" t="n">
        <f aca="false">C6*C8</f>
        <v>375.246341586418</v>
      </c>
      <c r="D9" s="69" t="n">
        <f aca="false">D6*D8</f>
        <v>198.476657011931</v>
      </c>
      <c r="E9" s="69" t="n">
        <f aca="false">E6*E8</f>
        <v>491.238977095734</v>
      </c>
      <c r="F9" s="69" t="n">
        <f aca="false">F6*F8</f>
        <v>185.737002728677</v>
      </c>
      <c r="G9" s="69" t="n">
        <f aca="false">G6*G8</f>
        <v>541.71713268422</v>
      </c>
    </row>
    <row r="10" customFormat="false" ht="15" hidden="false" customHeight="false" outlineLevel="0" collapsed="false">
      <c r="A10" s="7" t="s">
        <v>900</v>
      </c>
      <c r="C10" s="24" t="n">
        <f aca="false">Cash_Flow!G49</f>
        <v>380.156920759149</v>
      </c>
      <c r="D10" s="24" t="n">
        <f aca="false">Cash_Flow!H49</f>
        <v>217.63232696554</v>
      </c>
      <c r="E10" s="24" t="n">
        <f aca="false">Cash_Flow!I49</f>
        <v>650.595549646493</v>
      </c>
      <c r="F10" s="24" t="n">
        <f aca="false">Cash_Flow!J49</f>
        <v>262.040444902273</v>
      </c>
      <c r="G10" s="24" t="n">
        <f aca="false">Cash_Flow!K49</f>
        <v>931.409993470564</v>
      </c>
    </row>
    <row r="11" customFormat="false" ht="15" hidden="false" customHeight="false" outlineLevel="0" collapsed="false">
      <c r="A11" s="5" t="s">
        <v>901</v>
      </c>
      <c r="C11" s="69" t="n">
        <f aca="false">C10*C8</f>
        <v>356.608595526734</v>
      </c>
      <c r="D11" s="69" t="n">
        <f aca="false">D10*D8</f>
        <v>179.642927143773</v>
      </c>
      <c r="E11" s="69" t="n">
        <f aca="false">E10*E8</f>
        <v>472.558541048471</v>
      </c>
      <c r="F11" s="69" t="n">
        <f aca="false">F10*F8</f>
        <v>167.482975708658</v>
      </c>
      <c r="G11" s="69" t="n">
        <f aca="false">G10*G8</f>
        <v>523.842879802444</v>
      </c>
    </row>
    <row r="13" customFormat="false" ht="15" hidden="false" customHeight="false" outlineLevel="0" collapsed="false">
      <c r="A13" s="5" t="s">
        <v>902</v>
      </c>
    </row>
    <row r="14" customFormat="false" ht="15" hidden="false" customHeight="false" outlineLevel="0" collapsed="false">
      <c r="A14" s="7" t="s">
        <v>903</v>
      </c>
      <c r="B14" s="65" t="n">
        <f aca="false">WACC!B44</f>
        <v>0.136428687861643</v>
      </c>
    </row>
    <row r="15" customFormat="false" ht="15" hidden="false" customHeight="false" outlineLevel="0" collapsed="false">
      <c r="A15" s="7" t="s">
        <v>904</v>
      </c>
      <c r="B15" s="65" t="n">
        <f aca="false">WACC!B54</f>
        <v>0.1286</v>
      </c>
    </row>
    <row r="16" customFormat="false" ht="15" hidden="false" customHeight="false" outlineLevel="0" collapsed="false">
      <c r="A16" s="7" t="s">
        <v>905</v>
      </c>
      <c r="B16" s="65" t="n">
        <f aca="false">WACC!B14</f>
        <v>0.074</v>
      </c>
    </row>
    <row r="18" customFormat="false" ht="15" hidden="false" customHeight="false" outlineLevel="0" collapsed="false">
      <c r="A18" s="4" t="s">
        <v>906</v>
      </c>
      <c r="B18" s="2"/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7" t="s">
        <v>907</v>
      </c>
      <c r="B19" s="59" t="n">
        <f aca="false">G6*(1+B16)</f>
        <v>1034.46714174272</v>
      </c>
    </row>
    <row r="20" customFormat="false" ht="15" hidden="false" customHeight="false" outlineLevel="0" collapsed="false">
      <c r="A20" s="5" t="s">
        <v>908</v>
      </c>
      <c r="B20" s="69" t="n">
        <f aca="false">B19/(B15-B16)</f>
        <v>18946.2846473025</v>
      </c>
    </row>
    <row r="21" customFormat="false" ht="15" hidden="false" customHeight="false" outlineLevel="0" collapsed="false">
      <c r="A21" s="5" t="s">
        <v>909</v>
      </c>
      <c r="B21" s="69" t="n">
        <f aca="false">B20*G8</f>
        <v>10655.7545879643</v>
      </c>
    </row>
    <row r="22" customFormat="false" ht="15" hidden="false" customHeight="false" outlineLevel="0" collapsed="false">
      <c r="A22" s="7"/>
    </row>
    <row r="23" customFormat="false" ht="15" hidden="false" customHeight="false" outlineLevel="0" collapsed="false">
      <c r="A23" s="91" t="s">
        <v>910</v>
      </c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7" t="s">
        <v>911</v>
      </c>
      <c r="B24" s="59" t="n">
        <f aca="false">SUM(C9:G9)</f>
        <v>1792.41611110698</v>
      </c>
    </row>
    <row r="25" customFormat="false" ht="15" hidden="false" customHeight="false" outlineLevel="0" collapsed="false">
      <c r="A25" s="7" t="s">
        <v>912</v>
      </c>
      <c r="B25" s="59" t="n">
        <f aca="false">B21</f>
        <v>10655.7545879643</v>
      </c>
    </row>
    <row r="26" customFormat="false" ht="15" hidden="false" customHeight="false" outlineLevel="0" collapsed="false">
      <c r="A26" s="5" t="s">
        <v>913</v>
      </c>
      <c r="B26" s="69" t="n">
        <f aca="false">B24+B25</f>
        <v>12448.1706990713</v>
      </c>
    </row>
    <row r="27" customFormat="false" ht="15" hidden="false" customHeight="false" outlineLevel="0" collapsed="false">
      <c r="A27" s="7" t="s">
        <v>914</v>
      </c>
      <c r="B27" s="24" t="n">
        <f aca="false">Debt_Schedule!F23-Balance_Sheet!F39</f>
        <v>201</v>
      </c>
    </row>
    <row r="28" customFormat="false" ht="15" hidden="false" customHeight="false" outlineLevel="0" collapsed="false">
      <c r="A28" s="5" t="s">
        <v>915</v>
      </c>
      <c r="B28" s="69" t="n">
        <f aca="false">B26-B27</f>
        <v>12247.1706990713</v>
      </c>
    </row>
    <row r="29" customFormat="false" ht="15" hidden="false" customHeight="false" outlineLevel="0" collapsed="false">
      <c r="A29" s="7" t="s">
        <v>916</v>
      </c>
      <c r="B29" s="28" t="n">
        <f aca="false">Assumptions!$C$9</f>
        <v>33.08</v>
      </c>
    </row>
    <row r="30" customFormat="false" ht="15" hidden="false" customHeight="false" outlineLevel="0" collapsed="false">
      <c r="A30" s="5" t="s">
        <v>917</v>
      </c>
      <c r="B30" s="92" t="n">
        <f aca="false">B28/B29</f>
        <v>370.228860310499</v>
      </c>
    </row>
    <row r="31" customFormat="false" ht="15" hidden="false" customHeight="false" outlineLevel="0" collapsed="false">
      <c r="A31" s="7" t="s">
        <v>918</v>
      </c>
      <c r="B31" s="28" t="n">
        <f aca="false">Assumptions!$C$8</f>
        <v>1033</v>
      </c>
    </row>
    <row r="32" customFormat="false" ht="15" hidden="false" customHeight="false" outlineLevel="0" collapsed="false">
      <c r="A32" s="5" t="s">
        <v>919</v>
      </c>
      <c r="B32" s="83" t="n">
        <f aca="false">B30/B31-1</f>
        <v>-0.64159839272943</v>
      </c>
    </row>
    <row r="35" customFormat="false" ht="15" hidden="false" customHeight="false" outlineLevel="0" collapsed="false">
      <c r="A35" s="51" t="s">
        <v>920</v>
      </c>
      <c r="B35" s="52"/>
      <c r="C35" s="52"/>
      <c r="D35" s="52"/>
      <c r="E35" s="52"/>
      <c r="F35" s="52"/>
      <c r="G35" s="52"/>
      <c r="H35" s="52"/>
    </row>
    <row r="36" customFormat="false" ht="43.5" hidden="false" customHeight="true" outlineLevel="0" collapsed="false">
      <c r="A36" s="89" t="s">
        <v>921</v>
      </c>
      <c r="B36" s="89" t="s">
        <v>922</v>
      </c>
      <c r="C36" s="89" t="s">
        <v>923</v>
      </c>
      <c r="D36" s="89" t="s">
        <v>924</v>
      </c>
    </row>
    <row r="37" customFormat="false" ht="15" hidden="false" customHeight="false" outlineLevel="0" collapsed="false">
      <c r="A37" s="7" t="s">
        <v>925</v>
      </c>
      <c r="B37" s="93" t="s">
        <v>174</v>
      </c>
      <c r="C37" s="93" t="s">
        <v>280</v>
      </c>
      <c r="D37" s="93" t="s">
        <v>280</v>
      </c>
    </row>
    <row r="38" customFormat="false" ht="15" hidden="false" customHeight="false" outlineLevel="0" collapsed="false">
      <c r="A38" s="7" t="s">
        <v>926</v>
      </c>
      <c r="B38" s="72" t="n">
        <f aca="false">$B$15</f>
        <v>0.1286</v>
      </c>
      <c r="C38" s="72" t="n">
        <f aca="false">$B$15</f>
        <v>0.1286</v>
      </c>
      <c r="D38" s="72" t="n">
        <f aca="false">$B$14</f>
        <v>0.136428687861643</v>
      </c>
    </row>
    <row r="39" customFormat="false" ht="15" hidden="false" customHeight="false" outlineLevel="0" collapsed="false">
      <c r="A39" s="7" t="s">
        <v>927</v>
      </c>
      <c r="B39" s="59" t="n">
        <f aca="false">SUM(C9:G9)</f>
        <v>1792.41611110698</v>
      </c>
      <c r="C39" s="59" t="n">
        <f aca="false">SUM(C11:G11)</f>
        <v>1700.13591923008</v>
      </c>
      <c r="D39" s="59" t="n">
        <f aca="false">SUM(C11:G11)</f>
        <v>1700.13591923008</v>
      </c>
    </row>
    <row r="40" customFormat="false" ht="15" hidden="false" customHeight="false" outlineLevel="0" collapsed="false">
      <c r="A40" s="7" t="s">
        <v>928</v>
      </c>
      <c r="B40" s="59" t="n">
        <f aca="false">G6*(1+$B$16)</f>
        <v>1034.46714174272</v>
      </c>
      <c r="C40" s="59" t="n">
        <f aca="false">G10*(1+$B$16)</f>
        <v>1000.33433298739</v>
      </c>
      <c r="D40" s="59" t="n">
        <f aca="false">G10*(1+$B$16)</f>
        <v>1000.33433298739</v>
      </c>
    </row>
    <row r="41" customFormat="false" ht="15" hidden="false" customHeight="false" outlineLevel="0" collapsed="false">
      <c r="A41" s="7" t="s">
        <v>929</v>
      </c>
      <c r="B41" s="59" t="n">
        <f aca="false">B40/(B38-$B$16)</f>
        <v>18946.2846473025</v>
      </c>
      <c r="C41" s="59" t="n">
        <f aca="false">C40/(C38-$B$16)</f>
        <v>18321.1416298056</v>
      </c>
      <c r="D41" s="59" t="n">
        <f aca="false">D40/(D38-$B$16)</f>
        <v>16023.6321994204</v>
      </c>
    </row>
    <row r="42" customFormat="false" ht="15" hidden="false" customHeight="false" outlineLevel="0" collapsed="false">
      <c r="A42" s="7" t="s">
        <v>930</v>
      </c>
      <c r="B42" s="59" t="n">
        <f aca="false">B41*$G$8</f>
        <v>10655.7545879643</v>
      </c>
      <c r="C42" s="59" t="n">
        <f aca="false">C41*$G$8</f>
        <v>10304.162141169</v>
      </c>
      <c r="D42" s="59" t="n">
        <f aca="false">D41*$G$8</f>
        <v>9011.99868487867</v>
      </c>
    </row>
    <row r="43" customFormat="false" ht="15" hidden="false" customHeight="false" outlineLevel="0" collapsed="false">
      <c r="A43" s="5" t="s">
        <v>931</v>
      </c>
      <c r="B43" s="69" t="n">
        <f aca="false">B39+B42</f>
        <v>12448.1706990713</v>
      </c>
      <c r="C43" s="69" t="n">
        <f aca="false">C39+C42</f>
        <v>12004.298060399</v>
      </c>
      <c r="D43" s="69" t="n">
        <f aca="false">D39+D42</f>
        <v>10712.1346041087</v>
      </c>
    </row>
    <row r="44" customFormat="false" ht="15" hidden="false" customHeight="false" outlineLevel="0" collapsed="false">
      <c r="A44" s="7" t="s">
        <v>932</v>
      </c>
      <c r="B44" s="59" t="n">
        <f aca="false">$B$27</f>
        <v>201</v>
      </c>
      <c r="C44" s="59" t="n">
        <f aca="false">$B$27</f>
        <v>201</v>
      </c>
      <c r="D44" s="59" t="n">
        <f aca="false">$B$27</f>
        <v>201</v>
      </c>
    </row>
    <row r="45" customFormat="false" ht="15" hidden="false" customHeight="false" outlineLevel="0" collapsed="false">
      <c r="A45" s="5" t="s">
        <v>933</v>
      </c>
      <c r="B45" s="69" t="n">
        <f aca="false">B43-B44</f>
        <v>12247.1706990713</v>
      </c>
      <c r="C45" s="69" t="n">
        <f aca="false">C43-C44</f>
        <v>11803.298060399</v>
      </c>
      <c r="D45" s="69" t="n">
        <f aca="false">D43-D44</f>
        <v>10511.1346041087</v>
      </c>
    </row>
    <row r="46" customFormat="false" ht="15" hidden="false" customHeight="false" outlineLevel="0" collapsed="false">
      <c r="A46" s="5" t="s">
        <v>934</v>
      </c>
      <c r="B46" s="57" t="n">
        <f aca="false">B45/$B$29</f>
        <v>370.228860310499</v>
      </c>
      <c r="C46" s="57" t="n">
        <f aca="false">C45/$B$29</f>
        <v>356.810703155956</v>
      </c>
      <c r="D46" s="92" t="n">
        <f aca="false">D45/$B$29</f>
        <v>317.748929991196</v>
      </c>
    </row>
    <row r="47" customFormat="false" ht="15" hidden="false" customHeight="false" outlineLevel="0" collapsed="false">
      <c r="A47" s="7" t="s">
        <v>935</v>
      </c>
      <c r="B47" s="31" t="n">
        <f aca="false">B46/$B$31-1</f>
        <v>-0.64159839272943</v>
      </c>
      <c r="C47" s="31" t="n">
        <f aca="false">C46/$B$31-1</f>
        <v>-0.654587896267225</v>
      </c>
      <c r="D47" s="31" t="n">
        <f aca="false">D46/$B$31-1</f>
        <v>-0.692401810269898</v>
      </c>
    </row>
    <row r="48" customFormat="false" ht="15" hidden="false" customHeight="false" outlineLevel="0" collapsed="false">
      <c r="A48" s="7" t="s">
        <v>390</v>
      </c>
      <c r="B48" s="31" t="n">
        <f aca="false">B42/B43</f>
        <v>0.856009677691783</v>
      </c>
      <c r="C48" s="31" t="n">
        <f aca="false">C42/C43</f>
        <v>0.858372733609585</v>
      </c>
      <c r="D48" s="31" t="n">
        <f aca="false">D42/D43</f>
        <v>0.841288783042553</v>
      </c>
    </row>
    <row r="49" customFormat="false" ht="15" hidden="false" customHeight="false" outlineLevel="0" collapsed="false">
      <c r="A49" s="7" t="s">
        <v>936</v>
      </c>
      <c r="B49" s="25" t="n">
        <f aca="false">B46-$B$46</f>
        <v>0</v>
      </c>
      <c r="C49" s="25" t="n">
        <f aca="false">C46-$B$46</f>
        <v>-13.4181571545427</v>
      </c>
      <c r="D49" s="25" t="n">
        <f aca="false">D46-$B$46</f>
        <v>-52.4799303193034</v>
      </c>
    </row>
    <row r="50" customFormat="false" ht="15" hidden="false" customHeight="false" outlineLevel="0" collapsed="false">
      <c r="A50" s="7" t="s">
        <v>937</v>
      </c>
      <c r="B50" s="24" t="n">
        <f aca="false">Balance_Sheet!F30+Balance_Sheet!F37</f>
        <v>2584</v>
      </c>
    </row>
    <row r="51" customFormat="false" ht="15" hidden="false" customHeight="false" outlineLevel="0" collapsed="false">
      <c r="A51" s="7" t="s">
        <v>938</v>
      </c>
      <c r="B51" s="25" t="n">
        <f aca="false">D46+B50/B29</f>
        <v>395.862593836419</v>
      </c>
    </row>
    <row r="54" customFormat="false" ht="15" hidden="false" customHeight="false" outlineLevel="0" collapsed="false">
      <c r="A54" s="51" t="s">
        <v>939</v>
      </c>
      <c r="B54" s="52"/>
      <c r="C54" s="52"/>
      <c r="D54" s="52"/>
      <c r="E54" s="52"/>
      <c r="F54" s="52"/>
      <c r="G54" s="52"/>
      <c r="H54" s="52"/>
    </row>
    <row r="55" customFormat="false" ht="15" hidden="false" customHeight="false" outlineLevel="0" collapsed="false">
      <c r="A55" s="5" t="s">
        <v>940</v>
      </c>
      <c r="B55" s="94" t="n">
        <f aca="false">$B$16+(-0.02)</f>
        <v>0.054</v>
      </c>
      <c r="C55" s="94" t="n">
        <f aca="false">$B$16+(-0.01)</f>
        <v>0.064</v>
      </c>
      <c r="D55" s="94" t="n">
        <f aca="false">$B$16+(0)</f>
        <v>0.074</v>
      </c>
      <c r="E55" s="94" t="n">
        <f aca="false">$B$16+(0.01)</f>
        <v>0.084</v>
      </c>
      <c r="F55" s="94" t="n">
        <f aca="false">$B$16+(0.02)</f>
        <v>0.094</v>
      </c>
    </row>
    <row r="56" customFormat="false" ht="15" hidden="false" customHeight="false" outlineLevel="0" collapsed="false">
      <c r="A56" s="95" t="n">
        <f aca="false">$B$14+(-0.02)</f>
        <v>0.116428687861643</v>
      </c>
      <c r="B56" s="59" t="n">
        <f aca="false">(SUMPRODUCT($C$10:$G$10/(1+$A56)^$C$7:$G$7)+$G$10*(1+B$55)/($A56-B$55)/(1+$A56)^$G$7-$B$27)/$B$29</f>
        <v>337.447288080858</v>
      </c>
      <c r="C56" s="59" t="n">
        <f aca="false">(SUMPRODUCT($C$10:$G$10/(1+$A56)^$C$7:$G$7)+$G$10*(1+C$55)/($A56-C$55)/(1+$A56)^$G$7-$B$27)/$B$29</f>
        <v>395.955084299657</v>
      </c>
      <c r="D56" s="59" t="n">
        <f aca="false">(SUMPRODUCT($C$10:$G$10/(1+$A56)^$C$7:$G$7)+$G$10*(1+D$55)/($A56-D$55)/(1+$A56)^$G$7-$B$27)/$B$29</f>
        <v>482.042237395855</v>
      </c>
      <c r="E56" s="59" t="n">
        <f aca="false">(SUMPRODUCT($C$10:$G$10/(1+$A56)^$C$7:$G$7)+$G$10*(1+E$55)/($A56-E$55)/(1+$A56)^$G$7-$B$27)/$B$29</f>
        <v>621.222598249017</v>
      </c>
      <c r="F56" s="59" t="n">
        <f aca="false">(SUMPRODUCT($C$10:$G$10/(1+$A56)^$C$7:$G$7)+$G$10*(1+F$55)/($A56-F$55)/(1+$A56)^$G$7-$B$27)/$B$29</f>
        <v>884.512190735999</v>
      </c>
    </row>
    <row r="57" customFormat="false" ht="15" hidden="false" customHeight="false" outlineLevel="0" collapsed="false">
      <c r="A57" s="95" t="n">
        <f aca="false">$B$14+(-0.01)</f>
        <v>0.126428687861643</v>
      </c>
      <c r="B57" s="59" t="n">
        <f aca="false">(SUMPRODUCT($C$10:$G$10/(1+$A57)^$C$7:$G$7)+$G$10*(1+B$55)/($A57-B$55)/(1+$A57)^$G$7-$B$27)/$B$29</f>
        <v>286.353701836749</v>
      </c>
      <c r="C57" s="59" t="n">
        <f aca="false">(SUMPRODUCT($C$10:$G$10/(1+$A57)^$C$7:$G$7)+$G$10*(1+C$55)/($A57-C$55)/(1+$A57)^$G$7-$B$27)/$B$29</f>
        <v>327.404122240228</v>
      </c>
      <c r="D57" s="59" t="n">
        <f aca="false">(SUMPRODUCT($C$10:$G$10/(1+$A57)^$C$7:$G$7)+$G$10*(1+D$55)/($A57-D$55)/(1+$A57)^$G$7-$B$27)/$B$29</f>
        <v>384.11406878398</v>
      </c>
      <c r="E57" s="59" t="n">
        <f aca="false">(SUMPRODUCT($C$10:$G$10/(1+$A57)^$C$7:$G$7)+$G$10*(1+E$55)/($A57-E$55)/(1+$A57)^$G$7-$B$27)/$B$29</f>
        <v>467.555903303471</v>
      </c>
      <c r="F57" s="59" t="n">
        <f aca="false">(SUMPRODUCT($C$10:$G$10/(1+$A57)^$C$7:$G$7)+$G$10*(1+F$55)/($A57-F$55)/(1+$A57)^$G$7-$B$27)/$B$29</f>
        <v>602.459477425561</v>
      </c>
    </row>
    <row r="58" customFormat="false" ht="15" hidden="false" customHeight="false" outlineLevel="0" collapsed="false">
      <c r="A58" s="95" t="n">
        <f aca="false">$B$14+(0)</f>
        <v>0.136428687861643</v>
      </c>
      <c r="B58" s="59" t="n">
        <f aca="false">(SUMPRODUCT($C$10:$G$10/(1+$A58)^$C$7:$G$7)+$G$10*(1+B$55)/($A58-B$55)/(1+$A58)^$G$7-$B$27)/$B$29</f>
        <v>247.805788460376</v>
      </c>
      <c r="C58" s="59" t="n">
        <f aca="false">(SUMPRODUCT($C$10:$G$10/(1+$A58)^$C$7:$G$7)+$G$10*(1+C$55)/($A58-C$55)/(1+$A58)^$G$7-$B$27)/$B$29</f>
        <v>277.948944988569</v>
      </c>
      <c r="D58" s="59" t="n">
        <f aca="false">(SUMPRODUCT($C$10:$G$10/(1+$A58)^$C$7:$G$7)+$G$10*(1+D$55)/($A58-D$55)/(1+$A58)^$G$7-$B$27)/$B$29</f>
        <v>317.748929991196</v>
      </c>
      <c r="E58" s="59" t="n">
        <f aca="false">(SUMPRODUCT($C$10:$G$10/(1+$A58)^$C$7:$G$7)+$G$10*(1+E$55)/($A58-E$55)/(1+$A58)^$G$7-$B$27)/$B$29</f>
        <v>372.731436863398</v>
      </c>
      <c r="F58" s="59" t="n">
        <f aca="false">(SUMPRODUCT($C$10:$G$10/(1+$A58)^$C$7:$G$7)+$G$10*(1+F$55)/($A58-F$55)/(1+$A58)^$G$7-$B$27)/$B$29</f>
        <v>453.631552619238</v>
      </c>
    </row>
    <row r="59" customFormat="false" ht="15" hidden="false" customHeight="false" outlineLevel="0" collapsed="false">
      <c r="A59" s="95" t="n">
        <f aca="false">$B$14+(0.01)</f>
        <v>0.146428687861643</v>
      </c>
      <c r="B59" s="59" t="n">
        <f aca="false">(SUMPRODUCT($C$10:$G$10/(1+$A59)^$C$7:$G$7)+$G$10*(1+B$55)/($A59-B$55)/(1+$A59)^$G$7-$B$27)/$B$29</f>
        <v>217.725055765217</v>
      </c>
      <c r="C59" s="59" t="n">
        <f aca="false">(SUMPRODUCT($C$10:$G$10/(1+$A59)^$C$7:$G$7)+$G$10*(1+C$55)/($A59-C$55)/(1+$A59)^$G$7-$B$27)/$B$29</f>
        <v>240.632443140844</v>
      </c>
      <c r="D59" s="59" t="n">
        <f aca="false">(SUMPRODUCT($C$10:$G$10/(1+$A59)^$C$7:$G$7)+$G$10*(1+D$55)/($A59-D$55)/(1+$A59)^$G$7-$B$27)/$B$29</f>
        <v>269.865331654745</v>
      </c>
      <c r="E59" s="59" t="n">
        <f aca="false">(SUMPRODUCT($C$10:$G$10/(1+$A59)^$C$7:$G$7)+$G$10*(1+E$55)/($A59-E$55)/(1+$A59)^$G$7-$B$27)/$B$29</f>
        <v>308.463430143486</v>
      </c>
      <c r="F59" s="59" t="n">
        <f aca="false">(SUMPRODUCT($C$10:$G$10/(1+$A59)^$C$7:$G$7)+$G$10*(1+F$55)/($A59-F$55)/(1+$A59)^$G$7-$B$27)/$B$29</f>
        <v>361.785566201353</v>
      </c>
    </row>
    <row r="60" customFormat="false" ht="15" hidden="false" customHeight="false" outlineLevel="0" collapsed="false">
      <c r="A60" s="95" t="n">
        <f aca="false">$B$14+(0.02)</f>
        <v>0.156428687861643</v>
      </c>
      <c r="B60" s="59" t="n">
        <f aca="false">(SUMPRODUCT($C$10:$G$10/(1+$A60)^$C$7:$G$7)+$G$10*(1+B$55)/($A60-B$55)/(1+$A60)^$G$7-$B$27)/$B$29</f>
        <v>193.626059639295</v>
      </c>
      <c r="C60" s="59" t="n">
        <f aca="false">(SUMPRODUCT($C$10:$G$10/(1+$A60)^$C$7:$G$7)+$G$10*(1+C$55)/($A60-C$55)/(1+$A60)^$G$7-$B$27)/$B$29</f>
        <v>211.508673403706</v>
      </c>
      <c r="D60" s="59" t="n">
        <f aca="false">(SUMPRODUCT($C$10:$G$10/(1+$A60)^$C$7:$G$7)+$G$10*(1+D$55)/($A60-D$55)/(1+$A60)^$G$7-$B$27)/$B$29</f>
        <v>233.730216787966</v>
      </c>
      <c r="E60" s="59" t="n">
        <f aca="false">(SUMPRODUCT($C$10:$G$10/(1+$A60)^$C$7:$G$7)+$G$10*(1+E$55)/($A60-E$55)/(1+$A60)^$G$7-$B$27)/$B$29</f>
        <v>262.087876686365</v>
      </c>
      <c r="F60" s="59" t="n">
        <f aca="false">(SUMPRODUCT($C$10:$G$10/(1+$A60)^$C$7:$G$7)+$G$10*(1+F$55)/($A60-F$55)/(1+$A60)^$G$7-$B$27)/$B$29</f>
        <v>299.530353475757</v>
      </c>
    </row>
    <row r="62" customFormat="false" ht="15" hidden="false" customHeight="false" outlineLevel="0" collapsed="false">
      <c r="A62" s="0" t="s">
        <v>941</v>
      </c>
      <c r="B62" s="96" t="n">
        <f aca="false">ROUND(D58-D46,4)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7" t="s">
        <v>942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18" t="s">
        <v>943</v>
      </c>
    </row>
    <row r="4" customFormat="false" ht="31.5" hidden="false" customHeight="true" outlineLevel="0" collapsed="false">
      <c r="A4" s="19" t="s">
        <v>814</v>
      </c>
      <c r="B4" s="19" t="s">
        <v>944</v>
      </c>
      <c r="C4" s="19" t="s">
        <v>945</v>
      </c>
      <c r="D4" s="19" t="s">
        <v>915</v>
      </c>
      <c r="E4" s="19" t="s">
        <v>946</v>
      </c>
      <c r="F4" s="19" t="s">
        <v>947</v>
      </c>
      <c r="G4" s="19" t="s">
        <v>948</v>
      </c>
      <c r="H4" s="19" t="s">
        <v>507</v>
      </c>
      <c r="I4" s="19" t="s">
        <v>949</v>
      </c>
      <c r="J4" s="19" t="s">
        <v>950</v>
      </c>
      <c r="K4" s="19" t="s">
        <v>951</v>
      </c>
      <c r="L4" s="19" t="s">
        <v>952</v>
      </c>
    </row>
    <row r="5" customFormat="false" ht="15" hidden="false" customHeight="false" outlineLevel="0" collapsed="false">
      <c r="A5" s="7" t="s">
        <v>828</v>
      </c>
      <c r="B5" s="27" t="n">
        <v>1718</v>
      </c>
      <c r="C5" s="27" t="n">
        <v>67.88</v>
      </c>
      <c r="D5" s="23" t="n">
        <v>116618</v>
      </c>
      <c r="E5" s="23" t="n">
        <v>-4017</v>
      </c>
      <c r="F5" s="59" t="n">
        <f aca="false">D5+E5</f>
        <v>112601</v>
      </c>
      <c r="G5" s="23" t="n">
        <v>24605</v>
      </c>
      <c r="H5" s="36" t="n">
        <v>2412.9</v>
      </c>
      <c r="I5" s="36" t="n">
        <v>1685</v>
      </c>
      <c r="J5" s="97" t="n">
        <f aca="false">F5/G5</f>
        <v>4.57634627108311</v>
      </c>
      <c r="K5" s="97" t="n">
        <f aca="false">F5/H5</f>
        <v>46.6662522276099</v>
      </c>
      <c r="L5" s="97" t="n">
        <f aca="false">D5/I5</f>
        <v>69.2094955489614</v>
      </c>
    </row>
    <row r="6" customFormat="false" ht="15" hidden="false" customHeight="false" outlineLevel="0" collapsed="false">
      <c r="A6" s="5" t="s">
        <v>829</v>
      </c>
      <c r="B6" s="27" t="n">
        <v>1032.85</v>
      </c>
      <c r="C6" s="27" t="n">
        <v>33.09</v>
      </c>
      <c r="D6" s="23" t="n">
        <v>34177</v>
      </c>
      <c r="E6" s="23" t="n">
        <v>212</v>
      </c>
      <c r="F6" s="59" t="n">
        <f aca="false">D6+E6</f>
        <v>34389</v>
      </c>
      <c r="G6" s="23" t="n">
        <v>14245</v>
      </c>
      <c r="H6" s="36" t="n">
        <v>516.3</v>
      </c>
      <c r="I6" s="36" t="n">
        <v>370</v>
      </c>
      <c r="J6" s="97" t="n">
        <f aca="false">F6/G6</f>
        <v>2.41411021411021</v>
      </c>
      <c r="K6" s="97" t="n">
        <f aca="false">F6/H6</f>
        <v>66.6066240557815</v>
      </c>
      <c r="L6" s="97" t="n">
        <f aca="false">D6/I6</f>
        <v>92.3702702702703</v>
      </c>
    </row>
    <row r="7" customFormat="false" ht="15" hidden="false" customHeight="false" outlineLevel="0" collapsed="false">
      <c r="A7" s="7" t="s">
        <v>830</v>
      </c>
      <c r="B7" s="27" t="n">
        <v>1571.75</v>
      </c>
      <c r="C7" s="27" t="n">
        <v>20.56</v>
      </c>
      <c r="D7" s="23" t="n">
        <v>32315</v>
      </c>
      <c r="E7" s="23" t="n">
        <v>408</v>
      </c>
      <c r="F7" s="59" t="n">
        <f aca="false">D7+E7</f>
        <v>32723</v>
      </c>
      <c r="G7" s="23" t="n">
        <v>12402</v>
      </c>
      <c r="H7" s="36" t="n">
        <v>933.1</v>
      </c>
      <c r="I7" s="36" t="n">
        <v>527</v>
      </c>
      <c r="J7" s="97" t="n">
        <f aca="false">F7/G7</f>
        <v>2.63852604418642</v>
      </c>
      <c r="K7" s="97" t="n">
        <f aca="false">F7/H7</f>
        <v>35.0691244239631</v>
      </c>
      <c r="L7" s="97" t="n">
        <f aca="false">D7/I7</f>
        <v>61.3187855787476</v>
      </c>
    </row>
    <row r="8" customFormat="false" ht="15" hidden="false" customHeight="false" outlineLevel="0" collapsed="false">
      <c r="A8" s="7" t="s">
        <v>831</v>
      </c>
      <c r="B8" s="27" t="n">
        <v>6668</v>
      </c>
      <c r="C8" s="27" t="n">
        <v>3.53</v>
      </c>
      <c r="D8" s="23" t="n">
        <v>23538</v>
      </c>
      <c r="E8" s="23" t="n">
        <v>2236</v>
      </c>
      <c r="F8" s="59" t="n">
        <f aca="false">D8+E8</f>
        <v>25774</v>
      </c>
      <c r="G8" s="23" t="n">
        <v>12186</v>
      </c>
      <c r="H8" s="36" t="n">
        <v>864.8</v>
      </c>
      <c r="I8" s="36" t="n">
        <v>226</v>
      </c>
      <c r="J8" s="97" t="n">
        <f aca="false">F8/G8</f>
        <v>2.11505005744297</v>
      </c>
      <c r="K8" s="97" t="n">
        <f aca="false">F8/H8</f>
        <v>29.8034227567068</v>
      </c>
      <c r="L8" s="97" t="n">
        <f aca="false">D8/I8</f>
        <v>104.150442477876</v>
      </c>
    </row>
    <row r="9" customFormat="false" ht="15" hidden="false" customHeight="false" outlineLevel="0" collapsed="false">
      <c r="A9" s="7" t="s">
        <v>832</v>
      </c>
      <c r="B9" s="27" t="n">
        <v>216.55</v>
      </c>
      <c r="C9" s="27" t="n">
        <v>64.39</v>
      </c>
      <c r="D9" s="23" t="n">
        <v>13944</v>
      </c>
      <c r="E9" s="23" t="n">
        <v>21</v>
      </c>
      <c r="F9" s="59" t="n">
        <f aca="false">D9+E9</f>
        <v>13965</v>
      </c>
      <c r="G9" s="23" t="n">
        <v>7193</v>
      </c>
      <c r="H9" s="36" t="n">
        <v>746.1</v>
      </c>
      <c r="I9" s="36" t="n">
        <v>516</v>
      </c>
      <c r="J9" s="97" t="n">
        <f aca="false">F9/G9</f>
        <v>1.94147087446128</v>
      </c>
      <c r="K9" s="97" t="n">
        <f aca="false">F9/H9</f>
        <v>18.7173301166064</v>
      </c>
      <c r="L9" s="97" t="n">
        <f aca="false">D9/I9</f>
        <v>27.0232558139535</v>
      </c>
    </row>
    <row r="11" customFormat="false" ht="15" hidden="false" customHeight="false" outlineLevel="0" collapsed="false">
      <c r="A11" s="7" t="s">
        <v>305</v>
      </c>
      <c r="J11" s="97" t="n">
        <f aca="false">MAX(J5:J9)</f>
        <v>4.57634627108311</v>
      </c>
      <c r="K11" s="97" t="n">
        <f aca="false">MAX(K5:K9)</f>
        <v>66.6066240557815</v>
      </c>
      <c r="L11" s="97" t="n">
        <f aca="false">MAX(L5:L9)</f>
        <v>104.150442477876</v>
      </c>
    </row>
    <row r="12" customFormat="false" ht="15" hidden="false" customHeight="false" outlineLevel="0" collapsed="false">
      <c r="A12" s="7" t="s">
        <v>953</v>
      </c>
      <c r="J12" s="97" t="n">
        <f aca="false">QUARTILE(J5:J9,3)</f>
        <v>2.63852604418642</v>
      </c>
      <c r="K12" s="97" t="n">
        <f aca="false">QUARTILE(K5:K9,3)</f>
        <v>46.6662522276099</v>
      </c>
      <c r="L12" s="97" t="n">
        <f aca="false">QUARTILE(L5:L9,3)</f>
        <v>92.3702702702703</v>
      </c>
    </row>
    <row r="13" customFormat="false" ht="15" hidden="false" customHeight="false" outlineLevel="0" collapsed="false">
      <c r="A13" s="7" t="s">
        <v>860</v>
      </c>
      <c r="J13" s="97" t="n">
        <f aca="false">AVERAGE(J5:J9)</f>
        <v>2.7371006922568</v>
      </c>
      <c r="K13" s="97" t="n">
        <f aca="false">AVERAGE(K5:K9)</f>
        <v>39.3725507161335</v>
      </c>
      <c r="L13" s="97" t="n">
        <f aca="false">AVERAGE(L5:L9)</f>
        <v>70.8144499379618</v>
      </c>
    </row>
    <row r="14" customFormat="false" ht="15" hidden="false" customHeight="false" outlineLevel="0" collapsed="false">
      <c r="A14" s="5" t="s">
        <v>861</v>
      </c>
      <c r="J14" s="98" t="n">
        <f aca="false">MEDIAN(J5:J9)</f>
        <v>2.41411021411021</v>
      </c>
      <c r="K14" s="98" t="n">
        <f aca="false">MEDIAN(K5:K9)</f>
        <v>35.0691244239631</v>
      </c>
      <c r="L14" s="98" t="n">
        <f aca="false">MEDIAN(L5:L9)</f>
        <v>69.2094955489614</v>
      </c>
    </row>
    <row r="15" customFormat="false" ht="15" hidden="false" customHeight="false" outlineLevel="0" collapsed="false">
      <c r="A15" s="7" t="s">
        <v>954</v>
      </c>
      <c r="J15" s="97" t="n">
        <f aca="false">QUARTILE(J5:J9,1)</f>
        <v>2.11505005744297</v>
      </c>
      <c r="K15" s="97" t="n">
        <f aca="false">QUARTILE(K5:K9,1)</f>
        <v>29.8034227567068</v>
      </c>
      <c r="L15" s="97" t="n">
        <f aca="false">QUARTILE(L5:L9,1)</f>
        <v>61.3187855787476</v>
      </c>
    </row>
    <row r="16" customFormat="false" ht="15" hidden="false" customHeight="false" outlineLevel="0" collapsed="false">
      <c r="A16" s="7" t="s">
        <v>313</v>
      </c>
      <c r="J16" s="97" t="n">
        <f aca="false">MIN(J5:J9)</f>
        <v>1.94147087446128</v>
      </c>
      <c r="K16" s="97" t="n">
        <f aca="false">MIN(K5:K9)</f>
        <v>18.7173301166064</v>
      </c>
      <c r="L16" s="97" t="n">
        <f aca="false">MIN(L5:L9)</f>
        <v>27.0232558139535</v>
      </c>
    </row>
    <row r="18" customFormat="false" ht="15" hidden="false" customHeight="false" outlineLevel="0" collapsed="false">
      <c r="A18" s="4" t="s">
        <v>955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 t="s">
        <v>950</v>
      </c>
      <c r="K19" s="19" t="s">
        <v>951</v>
      </c>
      <c r="L19" s="19" t="s">
        <v>952</v>
      </c>
    </row>
    <row r="20" customFormat="false" ht="15" hidden="false" customHeight="false" outlineLevel="0" collapsed="false">
      <c r="A20" s="7" t="s">
        <v>956</v>
      </c>
      <c r="J20" s="59" t="n">
        <f aca="false">J14*G6</f>
        <v>34389</v>
      </c>
      <c r="K20" s="59" t="n">
        <f aca="false">K14*H6</f>
        <v>18106.1889400922</v>
      </c>
      <c r="L20" s="59" t="n">
        <f aca="false">L22+L21</f>
        <v>25819.5133531157</v>
      </c>
    </row>
    <row r="21" customFormat="false" ht="15" hidden="false" customHeight="false" outlineLevel="0" collapsed="false">
      <c r="A21" s="7" t="s">
        <v>946</v>
      </c>
      <c r="J21" s="59" t="n">
        <f aca="false">$E$6</f>
        <v>212</v>
      </c>
      <c r="K21" s="59" t="n">
        <f aca="false">$E$6</f>
        <v>212</v>
      </c>
      <c r="L21" s="59" t="n">
        <f aca="false">$E$6</f>
        <v>212</v>
      </c>
    </row>
    <row r="22" customFormat="false" ht="15" hidden="false" customHeight="false" outlineLevel="0" collapsed="false">
      <c r="A22" s="7" t="s">
        <v>957</v>
      </c>
      <c r="J22" s="59" t="n">
        <f aca="false">J20-J21</f>
        <v>34177</v>
      </c>
      <c r="K22" s="59" t="n">
        <f aca="false">K20-K21</f>
        <v>17894.1889400922</v>
      </c>
      <c r="L22" s="59" t="n">
        <f aca="false">L14*I6</f>
        <v>25607.5133531157</v>
      </c>
    </row>
    <row r="23" customFormat="false" ht="15" hidden="false" customHeight="false" outlineLevel="0" collapsed="false">
      <c r="A23" s="7" t="s">
        <v>945</v>
      </c>
      <c r="J23" s="28" t="n">
        <f aca="false">Assumptions!$C$9</f>
        <v>33.08</v>
      </c>
      <c r="K23" s="28" t="n">
        <f aca="false">Assumptions!$C$9</f>
        <v>33.08</v>
      </c>
      <c r="L23" s="28" t="n">
        <f aca="false">Assumptions!$C$9</f>
        <v>33.08</v>
      </c>
    </row>
    <row r="24" customFormat="false" ht="15" hidden="false" customHeight="false" outlineLevel="0" collapsed="false">
      <c r="A24" s="5" t="s">
        <v>958</v>
      </c>
      <c r="J24" s="57" t="n">
        <f aca="false">J22/J23</f>
        <v>1033.16203143894</v>
      </c>
      <c r="K24" s="57" t="n">
        <f aca="false">K22/K23</f>
        <v>540.936787789969</v>
      </c>
      <c r="L24" s="57" t="n">
        <f aca="false">L22/L23</f>
        <v>774.108626152229</v>
      </c>
    </row>
    <row r="25" customFormat="false" ht="15" hidden="false" customHeight="false" outlineLevel="0" collapsed="false">
      <c r="A25" s="7" t="s">
        <v>959</v>
      </c>
      <c r="J25" s="61" t="n">
        <v>0.2</v>
      </c>
      <c r="K25" s="61" t="n">
        <v>0.6</v>
      </c>
      <c r="L25" s="61" t="n">
        <v>0.2</v>
      </c>
    </row>
    <row r="26" customFormat="false" ht="15" hidden="false" customHeight="false" outlineLevel="0" collapsed="false">
      <c r="A26" s="5" t="s">
        <v>960</v>
      </c>
      <c r="L26" s="92" t="n">
        <f aca="false">SUMPRODUCT(J24:L24,J25:L25)</f>
        <v>686.016204192214</v>
      </c>
    </row>
    <row r="27" customFormat="false" ht="15" hidden="false" customHeight="false" outlineLevel="0" collapsed="false">
      <c r="A27" s="99" t="s">
        <v>961</v>
      </c>
      <c r="L27" s="96" t="n">
        <f aca="false">ROUND(SUM(J25:L25)-1,6)</f>
        <v>0</v>
      </c>
    </row>
    <row r="29" customFormat="false" ht="15" hidden="false" customHeight="false" outlineLevel="0" collapsed="false">
      <c r="A29" s="4" t="s">
        <v>962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5" hidden="false" customHeight="false" outlineLevel="0" collapsed="false">
      <c r="A30" s="19" t="s">
        <v>963</v>
      </c>
      <c r="B30" s="19"/>
      <c r="C30" s="19"/>
      <c r="D30" s="19"/>
      <c r="E30" s="19"/>
      <c r="F30" s="19"/>
      <c r="G30" s="19"/>
      <c r="H30" s="19"/>
      <c r="I30" s="19"/>
      <c r="J30" s="19" t="s">
        <v>950</v>
      </c>
      <c r="K30" s="19" t="s">
        <v>951</v>
      </c>
      <c r="L30" s="19" t="s">
        <v>952</v>
      </c>
    </row>
    <row r="31" customFormat="false" ht="15" hidden="false" customHeight="false" outlineLevel="0" collapsed="false">
      <c r="A31" s="7" t="str">
        <f aca="false">A5</f>
        <v>LG Electronics</v>
      </c>
      <c r="J31" s="97" t="n">
        <f aca="false">J5</f>
        <v>4.57634627108311</v>
      </c>
      <c r="K31" s="97" t="n">
        <f aca="false">K5</f>
        <v>46.6662522276099</v>
      </c>
      <c r="L31" s="97" t="n">
        <f aca="false">L5</f>
        <v>69.2094955489614</v>
      </c>
    </row>
    <row r="32" customFormat="false" ht="15" hidden="false" customHeight="false" outlineLevel="0" collapsed="false">
      <c r="A32" s="7" t="str">
        <f aca="false">A7</f>
        <v>Blue Star</v>
      </c>
      <c r="J32" s="97" t="n">
        <f aca="false">J7</f>
        <v>2.63852604418642</v>
      </c>
      <c r="K32" s="97" t="n">
        <f aca="false">K7</f>
        <v>35.0691244239631</v>
      </c>
      <c r="L32" s="97" t="n">
        <f aca="false">L7</f>
        <v>61.3187855787476</v>
      </c>
    </row>
    <row r="33" customFormat="false" ht="15" hidden="false" customHeight="false" outlineLevel="0" collapsed="false">
      <c r="A33" s="7" t="str">
        <f aca="false">A8</f>
        <v>Amber Enterp.</v>
      </c>
      <c r="J33" s="97" t="n">
        <f aca="false">J8</f>
        <v>2.11505005744297</v>
      </c>
      <c r="K33" s="97" t="n">
        <f aca="false">K8</f>
        <v>29.8034227567068</v>
      </c>
      <c r="L33" s="97" t="n">
        <f aca="false">L8</f>
        <v>104.150442477876</v>
      </c>
    </row>
    <row r="34" customFormat="false" ht="15" hidden="false" customHeight="false" outlineLevel="0" collapsed="false">
      <c r="A34" s="7" t="str">
        <f aca="false">A9</f>
        <v>Crompton Gr. Con</v>
      </c>
      <c r="J34" s="97" t="n">
        <f aca="false">J9</f>
        <v>1.94147087446128</v>
      </c>
      <c r="K34" s="97" t="n">
        <f aca="false">K9</f>
        <v>18.7173301166064</v>
      </c>
      <c r="L34" s="97" t="n">
        <f aca="false">L9</f>
        <v>27.0232558139535</v>
      </c>
    </row>
    <row r="35" customFormat="false" ht="15" hidden="false" customHeight="false" outlineLevel="0" collapsed="false">
      <c r="A35" s="5" t="s">
        <v>964</v>
      </c>
      <c r="J35" s="98" t="n">
        <f aca="false">MEDIAN(J31:J34)</f>
        <v>2.37678805081469</v>
      </c>
      <c r="K35" s="98" t="n">
        <f aca="false">MEDIAN(K31:K34)</f>
        <v>32.4362735903349</v>
      </c>
      <c r="L35" s="98" t="n">
        <f aca="false">MEDIAN(L31:L34)</f>
        <v>65.2641405638545</v>
      </c>
    </row>
    <row r="36" customFormat="false" ht="15" hidden="false" customHeight="false" outlineLevel="0" collapsed="false">
      <c r="A36" s="5" t="s">
        <v>965</v>
      </c>
      <c r="J36" s="98" t="n">
        <f aca="false">AVERAGE(J31:J34)</f>
        <v>2.81784831179345</v>
      </c>
      <c r="K36" s="98" t="n">
        <f aca="false">AVERAGE(K31:K34)</f>
        <v>32.5640323812215</v>
      </c>
      <c r="L36" s="98" t="n">
        <f aca="false">AVERAGE(L31:L34)</f>
        <v>65.4254948548847</v>
      </c>
    </row>
    <row r="37" customFormat="false" ht="15" hidden="false" customHeight="false" outlineLevel="0" collapsed="false">
      <c r="A37" s="7" t="s">
        <v>956</v>
      </c>
      <c r="J37" s="59" t="n">
        <f aca="false">J35*G6</f>
        <v>33857.3457838553</v>
      </c>
      <c r="K37" s="59" t="n">
        <f aca="false">K35*H6</f>
        <v>16746.8480546899</v>
      </c>
      <c r="L37" s="59" t="n">
        <f aca="false">L38+L39</f>
        <v>24359.7320086262</v>
      </c>
    </row>
    <row r="38" customFormat="false" ht="15" hidden="false" customHeight="false" outlineLevel="0" collapsed="false">
      <c r="A38" s="7" t="s">
        <v>957</v>
      </c>
      <c r="J38" s="59" t="n">
        <f aca="false">J37-J39</f>
        <v>33645.3457838553</v>
      </c>
      <c r="K38" s="59" t="n">
        <f aca="false">K37-K39</f>
        <v>16534.8480546899</v>
      </c>
      <c r="L38" s="59" t="n">
        <f aca="false">L35*I6</f>
        <v>24147.7320086262</v>
      </c>
    </row>
    <row r="39" customFormat="false" ht="15" hidden="false" customHeight="false" outlineLevel="0" collapsed="false">
      <c r="A39" s="7" t="s">
        <v>946</v>
      </c>
      <c r="J39" s="59" t="n">
        <f aca="false">$E$6</f>
        <v>212</v>
      </c>
      <c r="K39" s="59" t="n">
        <f aca="false">$E$6</f>
        <v>212</v>
      </c>
      <c r="L39" s="59" t="n">
        <f aca="false">$E$6</f>
        <v>212</v>
      </c>
    </row>
    <row r="40" customFormat="false" ht="15" hidden="false" customHeight="false" outlineLevel="0" collapsed="false">
      <c r="A40" s="5" t="s">
        <v>958</v>
      </c>
      <c r="J40" s="57" t="n">
        <f aca="false">J38/J23</f>
        <v>1017.09025948777</v>
      </c>
      <c r="K40" s="57" t="n">
        <f aca="false">K38/K23</f>
        <v>499.844258001509</v>
      </c>
      <c r="L40" s="57" t="n">
        <f aca="false">L38/L23</f>
        <v>729.979806790392</v>
      </c>
    </row>
    <row r="41" customFormat="false" ht="15" hidden="false" customHeight="false" outlineLevel="0" collapsed="false">
      <c r="A41" s="5" t="s">
        <v>966</v>
      </c>
      <c r="L41" s="92" t="n">
        <f aca="false">SUMPRODUCT(J40:L40,J25:L25)</f>
        <v>649.320568056537</v>
      </c>
    </row>
    <row r="43" customFormat="false" ht="15" hidden="false" customHeight="false" outlineLevel="0" collapsed="false">
      <c r="A43" s="18" t="s">
        <v>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5"/>
    <col collapsed="false" customWidth="true" hidden="false" outlineLevel="0" max="7" min="7" style="0" width="46"/>
  </cols>
  <sheetData>
    <row r="1" customFormat="false" ht="16.15" hidden="false" customHeight="false" outlineLevel="0" collapsed="false">
      <c r="A1" s="12" t="s">
        <v>968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51" t="s">
        <v>969</v>
      </c>
      <c r="B3" s="52"/>
      <c r="C3" s="52"/>
      <c r="D3" s="52"/>
      <c r="E3" s="52"/>
      <c r="F3" s="52"/>
      <c r="G3" s="52"/>
    </row>
    <row r="4" customFormat="false" ht="15" hidden="false" customHeight="false" outlineLevel="0" collapsed="false">
      <c r="A4" s="89" t="s">
        <v>814</v>
      </c>
      <c r="B4" s="89" t="s">
        <v>970</v>
      </c>
      <c r="C4" s="89" t="s">
        <v>971</v>
      </c>
      <c r="D4" s="89" t="s">
        <v>972</v>
      </c>
      <c r="E4" s="89" t="s">
        <v>973</v>
      </c>
      <c r="F4" s="89" t="s">
        <v>974</v>
      </c>
      <c r="G4" s="89" t="s">
        <v>975</v>
      </c>
    </row>
    <row r="5" customFormat="false" ht="15" hidden="false" customHeight="false" outlineLevel="0" collapsed="false">
      <c r="A5" s="7" t="s">
        <v>830</v>
      </c>
      <c r="B5" s="66" t="n">
        <v>1568</v>
      </c>
      <c r="C5" s="66" t="n">
        <v>28.12</v>
      </c>
      <c r="D5" s="66" t="n">
        <v>38.59</v>
      </c>
      <c r="E5" s="97" t="n">
        <f aca="false">B5/C5</f>
        <v>55.7610241820768</v>
      </c>
      <c r="F5" s="97" t="n">
        <f aca="false">B5/D5</f>
        <v>40.6322881575538</v>
      </c>
      <c r="G5" s="99" t="s">
        <v>976</v>
      </c>
    </row>
    <row r="6" customFormat="false" ht="15" hidden="false" customHeight="false" outlineLevel="0" collapsed="false">
      <c r="A6" s="7" t="s">
        <v>977</v>
      </c>
      <c r="B6" s="66" t="n">
        <v>1718</v>
      </c>
      <c r="C6" s="66" t="n">
        <v>36.6</v>
      </c>
      <c r="D6" s="66" t="n">
        <v>40.8</v>
      </c>
      <c r="E6" s="97" t="n">
        <f aca="false">B6/C6</f>
        <v>46.9398907103825</v>
      </c>
      <c r="F6" s="97" t="n">
        <f aca="false">B6/D6</f>
        <v>42.1078431372549</v>
      </c>
      <c r="G6" s="99" t="s">
        <v>978</v>
      </c>
    </row>
    <row r="7" customFormat="false" ht="15" hidden="false" customHeight="false" outlineLevel="0" collapsed="false">
      <c r="A7" s="7" t="s">
        <v>979</v>
      </c>
      <c r="B7" s="66" t="n">
        <v>1121</v>
      </c>
      <c r="C7" s="66" t="n">
        <v>27.4</v>
      </c>
      <c r="D7" s="66" t="n">
        <v>30.6</v>
      </c>
      <c r="E7" s="97" t="n">
        <f aca="false">B7/C7</f>
        <v>40.9124087591241</v>
      </c>
      <c r="F7" s="97" t="n">
        <f aca="false">B7/D7</f>
        <v>36.6339869281046</v>
      </c>
      <c r="G7" s="99" t="s">
        <v>980</v>
      </c>
    </row>
    <row r="8" customFormat="false" ht="15" hidden="false" customHeight="false" outlineLevel="0" collapsed="false">
      <c r="A8" s="5" t="s">
        <v>981</v>
      </c>
      <c r="E8" s="98" t="n">
        <f aca="false">MEDIAN(E5:E7)</f>
        <v>46.9398907103825</v>
      </c>
      <c r="F8" s="98" t="n">
        <f aca="false">MEDIAN(F5:F7)</f>
        <v>40.6322881575538</v>
      </c>
    </row>
    <row r="9" customFormat="false" ht="15" hidden="false" customHeight="false" outlineLevel="0" collapsed="false">
      <c r="A9" s="7" t="s">
        <v>982</v>
      </c>
      <c r="B9" s="66" t="n">
        <v>1033</v>
      </c>
      <c r="C9" s="66" t="n">
        <v>22.2</v>
      </c>
      <c r="D9" s="66" t="n">
        <v>27.8</v>
      </c>
      <c r="E9" s="97" t="n">
        <f aca="false">B9/C9</f>
        <v>46.5315315315315</v>
      </c>
      <c r="F9" s="97" t="n">
        <f aca="false">B9/D9</f>
        <v>37.158273381295</v>
      </c>
    </row>
    <row r="10" customFormat="false" ht="15" hidden="false" customHeight="false" outlineLevel="0" collapsed="false">
      <c r="A10" s="7" t="s">
        <v>983</v>
      </c>
      <c r="F10" s="31" t="n">
        <f aca="false">F9/F8-1</f>
        <v>-0.0854988713111143</v>
      </c>
    </row>
    <row r="12" customFormat="false" ht="15" hidden="false" customHeight="false" outlineLevel="0" collapsed="false">
      <c r="A12" s="5" t="s">
        <v>984</v>
      </c>
    </row>
    <row r="13" customFormat="false" ht="15" hidden="false" customHeight="false" outlineLevel="0" collapsed="false">
      <c r="A13" s="7" t="s">
        <v>985</v>
      </c>
      <c r="B13" s="61" t="n">
        <v>0</v>
      </c>
    </row>
    <row r="14" customFormat="false" ht="15" hidden="false" customHeight="false" outlineLevel="0" collapsed="false">
      <c r="A14" s="7" t="s">
        <v>986</v>
      </c>
      <c r="B14" s="61" t="n">
        <v>-0.05</v>
      </c>
    </row>
    <row r="15" customFormat="false" ht="15" hidden="false" customHeight="false" outlineLevel="0" collapsed="false">
      <c r="A15" s="7" t="s">
        <v>987</v>
      </c>
      <c r="B15" s="61" t="n">
        <v>0.05</v>
      </c>
    </row>
    <row r="16" customFormat="false" ht="15" hidden="false" customHeight="false" outlineLevel="0" collapsed="false">
      <c r="A16" s="5" t="s">
        <v>988</v>
      </c>
      <c r="B16" s="83" t="n">
        <f aca="false">SUM(B13:B15)</f>
        <v>0</v>
      </c>
    </row>
    <row r="17" customFormat="false" ht="15" hidden="false" customHeight="false" outlineLevel="0" collapsed="false">
      <c r="A17" s="5" t="s">
        <v>989</v>
      </c>
      <c r="B17" s="100" t="n">
        <f aca="false">F8*(1+B16)</f>
        <v>40.6322881575538</v>
      </c>
    </row>
    <row r="19" customFormat="false" ht="15" hidden="false" customHeight="false" outlineLevel="0" collapsed="false">
      <c r="A19" s="51" t="s">
        <v>990</v>
      </c>
      <c r="B19" s="52"/>
      <c r="C19" s="52"/>
      <c r="D19" s="52"/>
      <c r="E19" s="52"/>
      <c r="F19" s="52"/>
      <c r="G19" s="52"/>
    </row>
    <row r="20" customFormat="false" ht="15" hidden="false" customHeight="false" outlineLevel="0" collapsed="false">
      <c r="A20" s="89" t="s">
        <v>814</v>
      </c>
      <c r="B20" s="89" t="s">
        <v>970</v>
      </c>
      <c r="C20" s="89" t="s">
        <v>971</v>
      </c>
      <c r="D20" s="89" t="s">
        <v>972</v>
      </c>
      <c r="E20" s="89" t="s">
        <v>973</v>
      </c>
      <c r="F20" s="89" t="s">
        <v>974</v>
      </c>
      <c r="G20" s="89" t="s">
        <v>975</v>
      </c>
    </row>
    <row r="21" customFormat="false" ht="15" hidden="false" customHeight="false" outlineLevel="0" collapsed="false">
      <c r="A21" s="7" t="s">
        <v>991</v>
      </c>
      <c r="B21" s="66" t="n">
        <v>1364</v>
      </c>
      <c r="C21" s="66" t="n">
        <v>69.6</v>
      </c>
      <c r="D21" s="66" t="n">
        <v>81</v>
      </c>
      <c r="E21" s="97" t="n">
        <f aca="false">B21/C21</f>
        <v>19.5977011494253</v>
      </c>
      <c r="F21" s="97" t="n">
        <f aca="false">B21/D21</f>
        <v>16.8395061728395</v>
      </c>
      <c r="G21" s="99" t="s">
        <v>992</v>
      </c>
    </row>
    <row r="22" customFormat="false" ht="15" hidden="false" customHeight="false" outlineLevel="0" collapsed="false">
      <c r="A22" s="7" t="s">
        <v>993</v>
      </c>
      <c r="B22" s="66" t="n">
        <v>352.25</v>
      </c>
      <c r="C22" s="66" t="n">
        <v>23.9</v>
      </c>
      <c r="D22" s="66" t="n">
        <v>32.9</v>
      </c>
      <c r="E22" s="97" t="n">
        <f aca="false">B22/C22</f>
        <v>14.7384937238494</v>
      </c>
      <c r="F22" s="97" t="n">
        <f aca="false">B22/D22</f>
        <v>10.7066869300912</v>
      </c>
      <c r="G22" s="99" t="s">
        <v>992</v>
      </c>
    </row>
    <row r="23" customFormat="false" ht="15" hidden="false" customHeight="false" outlineLevel="0" collapsed="false">
      <c r="A23" s="7" t="s">
        <v>994</v>
      </c>
      <c r="B23" s="66" t="n">
        <v>1568</v>
      </c>
      <c r="C23" s="66" t="n">
        <v>28.12</v>
      </c>
      <c r="D23" s="66" t="n">
        <v>38.59</v>
      </c>
      <c r="E23" s="97" t="n">
        <f aca="false">B23/C23</f>
        <v>55.7610241820768</v>
      </c>
      <c r="F23" s="97" t="n">
        <f aca="false">B23/D23</f>
        <v>40.6322881575538</v>
      </c>
      <c r="G23" s="99" t="s">
        <v>976</v>
      </c>
    </row>
    <row r="24" customFormat="false" ht="15" hidden="false" customHeight="false" outlineLevel="0" collapsed="false">
      <c r="A24" s="5" t="s">
        <v>995</v>
      </c>
      <c r="E24" s="98" t="n">
        <f aca="false">MEDIAN(E21:E22)</f>
        <v>17.1680974366373</v>
      </c>
      <c r="F24" s="98" t="n">
        <f aca="false">MEDIAN(F21:F22)</f>
        <v>13.7730965514653</v>
      </c>
    </row>
    <row r="25" customFormat="false" ht="15" hidden="false" customHeight="false" outlineLevel="0" collapsed="false">
      <c r="A25" s="5" t="s">
        <v>996</v>
      </c>
      <c r="B25" s="100" t="n">
        <f aca="false">F24</f>
        <v>13.7730965514653</v>
      </c>
    </row>
    <row r="27" customFormat="false" ht="15" hidden="false" customHeight="false" outlineLevel="0" collapsed="false">
      <c r="A27" s="51" t="s">
        <v>997</v>
      </c>
      <c r="B27" s="52"/>
      <c r="C27" s="52"/>
      <c r="D27" s="52"/>
      <c r="E27" s="52"/>
      <c r="F27" s="52"/>
      <c r="G27" s="52"/>
    </row>
    <row r="28" customFormat="false" ht="15" hidden="false" customHeight="false" outlineLevel="0" collapsed="false">
      <c r="A28" s="89" t="s">
        <v>814</v>
      </c>
      <c r="B28" s="89" t="s">
        <v>998</v>
      </c>
      <c r="C28" s="89"/>
      <c r="D28" s="89"/>
      <c r="E28" s="89"/>
      <c r="F28" s="89"/>
      <c r="G28" s="89" t="s">
        <v>975</v>
      </c>
    </row>
    <row r="29" customFormat="false" ht="15" hidden="false" customHeight="false" outlineLevel="0" collapsed="false">
      <c r="A29" s="7" t="s">
        <v>999</v>
      </c>
      <c r="B29" s="101" t="n">
        <v>28.7</v>
      </c>
      <c r="G29" s="99" t="s">
        <v>1000</v>
      </c>
    </row>
    <row r="30" customFormat="false" ht="15" hidden="false" customHeight="false" outlineLevel="0" collapsed="false">
      <c r="A30" s="5" t="s">
        <v>981</v>
      </c>
      <c r="B30" s="98" t="n">
        <f aca="false">MEDIAN(B29:B29)</f>
        <v>28.7</v>
      </c>
    </row>
    <row r="31" customFormat="false" ht="15" hidden="false" customHeight="false" outlineLevel="0" collapsed="false">
      <c r="A31" s="5" t="s">
        <v>1001</v>
      </c>
      <c r="B31" s="100" t="n">
        <f aca="false">B30</f>
        <v>28.7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9" min="5" style="0" width="16"/>
  </cols>
  <sheetData>
    <row r="1" customFormat="false" ht="16.15" hidden="false" customHeight="false" outlineLevel="0" collapsed="false">
      <c r="A1" s="12" t="s">
        <v>1002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4" t="s">
        <v>1003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7" t="s">
        <v>1004</v>
      </c>
      <c r="B4" s="28" t="n">
        <f aca="false">Assumptions!$C$8</f>
        <v>1033</v>
      </c>
    </row>
    <row r="5" customFormat="false" ht="15" hidden="false" customHeight="false" outlineLevel="0" collapsed="false">
      <c r="A5" s="7" t="s">
        <v>1005</v>
      </c>
      <c r="B5" s="28" t="n">
        <f aca="false">Assumptions!$C$9</f>
        <v>33.08</v>
      </c>
    </row>
    <row r="6" customFormat="false" ht="15" hidden="false" customHeight="false" outlineLevel="0" collapsed="false">
      <c r="A6" s="7" t="s">
        <v>1006</v>
      </c>
      <c r="B6" s="61" t="n">
        <v>0.25</v>
      </c>
    </row>
    <row r="7" customFormat="false" ht="15" hidden="false" customHeight="false" outlineLevel="0" collapsed="false">
      <c r="A7" s="7" t="s">
        <v>1007</v>
      </c>
      <c r="B7" s="64" t="n">
        <v>1.9</v>
      </c>
    </row>
    <row r="8" customFormat="false" ht="15" hidden="false" customHeight="false" outlineLevel="0" collapsed="false">
      <c r="A8" s="7" t="s">
        <v>1008</v>
      </c>
      <c r="B8" s="37" t="n">
        <f aca="false">Income_Statement!I17</f>
        <v>1420.00685277947</v>
      </c>
    </row>
    <row r="10" customFormat="false" ht="15" hidden="false" customHeight="false" outlineLevel="0" collapsed="false">
      <c r="A10" s="4" t="s">
        <v>1009</v>
      </c>
      <c r="B10" s="2"/>
      <c r="C10" s="2"/>
      <c r="D10" s="2"/>
      <c r="E10" s="2"/>
      <c r="F10" s="2"/>
      <c r="G10" s="2"/>
      <c r="H10" s="2"/>
      <c r="I10" s="2"/>
    </row>
    <row r="11" customFormat="false" ht="31.5" hidden="false" customHeight="true" outlineLevel="0" collapsed="false">
      <c r="A11" s="19" t="s">
        <v>1010</v>
      </c>
      <c r="B11" s="19" t="s">
        <v>1011</v>
      </c>
      <c r="C11" s="19" t="s">
        <v>1012</v>
      </c>
      <c r="D11" s="19" t="s">
        <v>1013</v>
      </c>
      <c r="E11" s="19" t="s">
        <v>1014</v>
      </c>
      <c r="F11" s="19" t="s">
        <v>1015</v>
      </c>
      <c r="G11" s="19" t="s">
        <v>1016</v>
      </c>
      <c r="H11" s="19" t="s">
        <v>1017</v>
      </c>
      <c r="I11" s="19" t="s">
        <v>1018</v>
      </c>
    </row>
    <row r="12" customFormat="false" ht="15" hidden="false" customHeight="false" outlineLevel="0" collapsed="false">
      <c r="A12" s="7" t="s">
        <v>969</v>
      </c>
      <c r="B12" s="24" t="n">
        <f aca="false">Revenue_Build!I9</f>
        <v>15966.7200269563</v>
      </c>
      <c r="C12" s="61" t="n">
        <v>0.07</v>
      </c>
      <c r="D12" s="31" t="n">
        <f aca="false">B12/$B$16</f>
        <v>0.744996916910756</v>
      </c>
      <c r="E12" s="78" t="n">
        <f aca="false">B12*C12</f>
        <v>1117.67040188694</v>
      </c>
      <c r="F12" s="78" t="n">
        <f aca="false">E12*$B$6</f>
        <v>279.417600471736</v>
      </c>
      <c r="G12" s="78" t="n">
        <f aca="false">E12-F12</f>
        <v>838.252801415207</v>
      </c>
      <c r="H12" s="33" t="n">
        <f aca="false">Peer_Multiples!B17</f>
        <v>40.6322881575538</v>
      </c>
      <c r="I12" s="59" t="n">
        <f aca="false">G12*H12</f>
        <v>34060.1293759794</v>
      </c>
    </row>
    <row r="13" customFormat="false" ht="15" hidden="false" customHeight="false" outlineLevel="0" collapsed="false">
      <c r="A13" s="7" t="s">
        <v>1019</v>
      </c>
      <c r="B13" s="24" t="n">
        <f aca="false">Revenue_Build!I14</f>
        <v>4681.76956</v>
      </c>
      <c r="C13" s="61" t="n">
        <v>0.065</v>
      </c>
      <c r="D13" s="31" t="n">
        <f aca="false">B13/$B$16</f>
        <v>0.218448365224546</v>
      </c>
      <c r="E13" s="78" t="n">
        <f aca="false">B13*C13</f>
        <v>304.3150214</v>
      </c>
      <c r="F13" s="78" t="n">
        <f aca="false">E13*$B$6</f>
        <v>76.07875535</v>
      </c>
      <c r="G13" s="78" t="n">
        <f aca="false">E13-F13</f>
        <v>228.23626605</v>
      </c>
      <c r="H13" s="33" t="n">
        <f aca="false">Peer_Multiples!B25</f>
        <v>13.7730965514653</v>
      </c>
      <c r="I13" s="59" t="n">
        <f aca="false">G13*H13</f>
        <v>3143.52012885258</v>
      </c>
    </row>
    <row r="14" customFormat="false" ht="15" hidden="false" customHeight="false" outlineLevel="0" collapsed="false">
      <c r="A14" s="7" t="s">
        <v>1020</v>
      </c>
      <c r="B14" s="24" t="n">
        <f aca="false">Revenue_Build!I20</f>
        <v>691.438068751</v>
      </c>
      <c r="C14" s="61" t="n">
        <v>0.25</v>
      </c>
      <c r="D14" s="31" t="n">
        <f aca="false">B14/$B$16</f>
        <v>0.0322620568648136</v>
      </c>
      <c r="E14" s="78" t="n">
        <f aca="false">B14*C14</f>
        <v>172.85951718775</v>
      </c>
      <c r="F14" s="78" t="n">
        <f aca="false">E14*$B$6</f>
        <v>43.2148792969375</v>
      </c>
      <c r="G14" s="78" t="n">
        <f aca="false">E14-F14</f>
        <v>129.644637890812</v>
      </c>
      <c r="H14" s="33" t="n">
        <f aca="false">Peer_Multiples!B31</f>
        <v>28.7</v>
      </c>
      <c r="I14" s="59" t="n">
        <f aca="false">G14*H14</f>
        <v>3720.80110746632</v>
      </c>
    </row>
    <row r="15" customFormat="false" ht="15" hidden="false" customHeight="false" outlineLevel="0" collapsed="false">
      <c r="A15" s="7" t="s">
        <v>1021</v>
      </c>
      <c r="B15" s="24" t="n">
        <f aca="false">Revenue_Build!I22</f>
        <v>92</v>
      </c>
      <c r="D15" s="31" t="n">
        <f aca="false">B15/$B$16</f>
        <v>0.00429266099988446</v>
      </c>
    </row>
    <row r="16" customFormat="false" ht="15" hidden="false" customHeight="false" outlineLevel="0" collapsed="false">
      <c r="A16" s="5" t="s">
        <v>1022</v>
      </c>
      <c r="B16" s="69" t="n">
        <f aca="false">SUM(B12:B15)</f>
        <v>21431.9276557073</v>
      </c>
      <c r="C16" s="83" t="n">
        <f aca="false">E16/B16</f>
        <v>0.0744144421395518</v>
      </c>
      <c r="D16" s="83" t="n">
        <f aca="false">SUM(D12:D15)</f>
        <v>1</v>
      </c>
      <c r="E16" s="102" t="n">
        <f aca="false">SUM(E12:E14)</f>
        <v>1594.84494047469</v>
      </c>
      <c r="F16" s="102" t="n">
        <f aca="false">SUM(F12:F14)</f>
        <v>398.711235118673</v>
      </c>
      <c r="G16" s="102" t="n">
        <f aca="false">SUM(G12:G14)</f>
        <v>1196.13370535602</v>
      </c>
      <c r="H16" s="98" t="n">
        <f aca="false">I16/G16</f>
        <v>34.2139431645875</v>
      </c>
      <c r="I16" s="69" t="n">
        <f aca="false">SUM(I12:I14)</f>
        <v>40924.4506122983</v>
      </c>
    </row>
    <row r="17" customFormat="false" ht="15" hidden="false" customHeight="false" outlineLevel="0" collapsed="false">
      <c r="A17" s="99" t="s">
        <v>1023</v>
      </c>
      <c r="E17" s="79" t="n">
        <f aca="false">E16-B8</f>
        <v>174.838087695221</v>
      </c>
      <c r="F17" s="103" t="n">
        <f aca="false">E16/B8-1</f>
        <v>0.123124819681679</v>
      </c>
    </row>
    <row r="19" customFormat="false" ht="15" hidden="false" customHeight="false" outlineLevel="0" collapsed="false">
      <c r="A19" s="4" t="s">
        <v>1024</v>
      </c>
      <c r="B19" s="2"/>
      <c r="C19" s="2"/>
      <c r="D19" s="2"/>
      <c r="E19" s="2"/>
      <c r="F19" s="2"/>
      <c r="G19" s="2"/>
      <c r="H19" s="2"/>
      <c r="I19" s="2"/>
    </row>
    <row r="20" customFormat="false" ht="23.85" hidden="false" customHeight="false" outlineLevel="0" collapsed="false">
      <c r="A20" s="19"/>
      <c r="B20" s="19" t="s">
        <v>922</v>
      </c>
      <c r="C20" s="19" t="s">
        <v>1025</v>
      </c>
      <c r="D20" s="19" t="s">
        <v>1026</v>
      </c>
    </row>
    <row r="21" customFormat="false" ht="15" hidden="false" customHeight="false" outlineLevel="0" collapsed="false">
      <c r="A21" s="7" t="s">
        <v>1027</v>
      </c>
      <c r="B21" s="59" t="n">
        <f aca="false">I16</f>
        <v>40924.4506122983</v>
      </c>
      <c r="C21" s="59" t="n">
        <f aca="false">I16</f>
        <v>40924.4506122983</v>
      </c>
    </row>
    <row r="22" customFormat="false" ht="15" hidden="false" customHeight="false" outlineLevel="0" collapsed="false">
      <c r="A22" s="7" t="s">
        <v>1028</v>
      </c>
      <c r="B22" s="26" t="n">
        <v>1</v>
      </c>
      <c r="C22" s="104" t="n">
        <f aca="false">1/(1+WACC!B37)^B7</f>
        <v>0.782236491311802</v>
      </c>
    </row>
    <row r="23" customFormat="false" ht="15" hidden="false" customHeight="false" outlineLevel="0" collapsed="false">
      <c r="A23" s="5" t="s">
        <v>1029</v>
      </c>
      <c r="B23" s="69" t="n">
        <f aca="false">B21*B22</f>
        <v>40924.4506122983</v>
      </c>
      <c r="C23" s="69" t="n">
        <f aca="false">C21*C22</f>
        <v>32012.5986558273</v>
      </c>
    </row>
    <row r="24" customFormat="false" ht="15" hidden="false" customHeight="false" outlineLevel="0" collapsed="false">
      <c r="A24" s="7" t="s">
        <v>1030</v>
      </c>
      <c r="B24" s="24" t="n">
        <f aca="false">Balance_Sheet!F39</f>
        <v>781</v>
      </c>
      <c r="C24" s="59" t="n">
        <f aca="false">B24</f>
        <v>781</v>
      </c>
      <c r="D24" s="99" t="s">
        <v>1031</v>
      </c>
    </row>
    <row r="25" customFormat="false" ht="15" hidden="false" customHeight="false" outlineLevel="0" collapsed="false">
      <c r="A25" s="7" t="s">
        <v>1032</v>
      </c>
      <c r="B25" s="74" t="n">
        <v>992</v>
      </c>
      <c r="C25" s="59" t="n">
        <f aca="false">B25</f>
        <v>992</v>
      </c>
      <c r="D25" s="99" t="s">
        <v>1033</v>
      </c>
    </row>
    <row r="26" customFormat="false" ht="15" hidden="false" customHeight="false" outlineLevel="0" collapsed="false">
      <c r="A26" s="7" t="s">
        <v>1034</v>
      </c>
      <c r="B26" s="74" t="n">
        <v>130</v>
      </c>
      <c r="C26" s="59" t="n">
        <f aca="false">B26</f>
        <v>130</v>
      </c>
      <c r="D26" s="99" t="s">
        <v>1035</v>
      </c>
    </row>
    <row r="27" customFormat="false" ht="15" hidden="false" customHeight="false" outlineLevel="0" collapsed="false">
      <c r="A27" s="5" t="s">
        <v>1036</v>
      </c>
      <c r="B27" s="69" t="n">
        <f aca="false">B24-B25+B26</f>
        <v>-81</v>
      </c>
      <c r="C27" s="69" t="n">
        <f aca="false">C24-C25+C26</f>
        <v>-81</v>
      </c>
    </row>
    <row r="28" customFormat="false" ht="15" hidden="false" customHeight="false" outlineLevel="0" collapsed="false">
      <c r="A28" s="5" t="s">
        <v>1037</v>
      </c>
      <c r="B28" s="69" t="n">
        <f aca="false">B23+B27</f>
        <v>40843.4506122983</v>
      </c>
      <c r="C28" s="69" t="n">
        <f aca="false">C23+C27</f>
        <v>31931.5986558273</v>
      </c>
    </row>
    <row r="29" customFormat="false" ht="15" hidden="false" customHeight="false" outlineLevel="0" collapsed="false">
      <c r="A29" s="5" t="s">
        <v>934</v>
      </c>
      <c r="B29" s="92" t="n">
        <f aca="false">B28/$B$5</f>
        <v>1234.6871406378</v>
      </c>
      <c r="C29" s="92" t="n">
        <f aca="false">C28/$B$5</f>
        <v>965.284118979061</v>
      </c>
    </row>
    <row r="30" customFormat="false" ht="15" hidden="false" customHeight="false" outlineLevel="0" collapsed="false">
      <c r="A30" s="7" t="s">
        <v>1038</v>
      </c>
      <c r="B30" s="25" t="n">
        <f aca="false">$B$4</f>
        <v>1033</v>
      </c>
      <c r="C30" s="25" t="n">
        <f aca="false">$B$4</f>
        <v>1033</v>
      </c>
    </row>
    <row r="31" customFormat="false" ht="15" hidden="false" customHeight="false" outlineLevel="0" collapsed="false">
      <c r="A31" s="5" t="s">
        <v>1039</v>
      </c>
      <c r="B31" s="83" t="n">
        <f aca="false">B29/B30-1</f>
        <v>0.195244085806191</v>
      </c>
      <c r="C31" s="83" t="n">
        <f aca="false">C29/C30-1</f>
        <v>-0.0655526437763208</v>
      </c>
    </row>
    <row r="33" customFormat="false" ht="15" hidden="false" customHeight="false" outlineLevel="0" collapsed="false">
      <c r="A33" s="4" t="s">
        <v>1040</v>
      </c>
      <c r="B33" s="2"/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19" t="s">
        <v>88</v>
      </c>
      <c r="B34" s="19" t="s">
        <v>313</v>
      </c>
      <c r="C34" s="19" t="s">
        <v>1041</v>
      </c>
      <c r="D34" s="19" t="s">
        <v>305</v>
      </c>
    </row>
    <row r="35" customFormat="false" ht="15" hidden="false" customHeight="false" outlineLevel="0" collapsed="false">
      <c r="A35" s="7" t="s">
        <v>1042</v>
      </c>
      <c r="B35" s="61" t="n">
        <v>0.06</v>
      </c>
      <c r="C35" s="31" t="n">
        <f aca="false">C12</f>
        <v>0.07</v>
      </c>
      <c r="D35" s="61" t="n">
        <v>0.08</v>
      </c>
    </row>
    <row r="36" customFormat="false" ht="15" hidden="false" customHeight="false" outlineLevel="0" collapsed="false">
      <c r="A36" s="7" t="s">
        <v>1043</v>
      </c>
      <c r="B36" s="61" t="n">
        <v>0.055</v>
      </c>
      <c r="C36" s="31" t="n">
        <f aca="false">C13</f>
        <v>0.065</v>
      </c>
      <c r="D36" s="61" t="n">
        <v>0.07</v>
      </c>
    </row>
    <row r="37" customFormat="false" ht="15" hidden="false" customHeight="false" outlineLevel="0" collapsed="false">
      <c r="A37" s="7" t="s">
        <v>1044</v>
      </c>
      <c r="B37" s="61" t="n">
        <v>0.22</v>
      </c>
      <c r="C37" s="31" t="n">
        <f aca="false">C14</f>
        <v>0.25</v>
      </c>
      <c r="D37" s="61" t="n">
        <v>0.27</v>
      </c>
    </row>
    <row r="38" customFormat="false" ht="15" hidden="false" customHeight="false" outlineLevel="0" collapsed="false">
      <c r="A38" s="7" t="s">
        <v>1045</v>
      </c>
      <c r="B38" s="101" t="n">
        <v>33</v>
      </c>
      <c r="C38" s="97" t="n">
        <f aca="false">H12</f>
        <v>40.6322881575538</v>
      </c>
      <c r="D38" s="101" t="n">
        <v>42</v>
      </c>
    </row>
    <row r="39" customFormat="false" ht="15" hidden="false" customHeight="false" outlineLevel="0" collapsed="false">
      <c r="A39" s="7" t="s">
        <v>1046</v>
      </c>
      <c r="B39" s="101" t="n">
        <v>10</v>
      </c>
      <c r="C39" s="97" t="n">
        <f aca="false">H13</f>
        <v>13.7730965514653</v>
      </c>
      <c r="D39" s="101" t="n">
        <v>15</v>
      </c>
    </row>
    <row r="40" customFormat="false" ht="15" hidden="false" customHeight="false" outlineLevel="0" collapsed="false">
      <c r="A40" s="7" t="s">
        <v>1047</v>
      </c>
      <c r="B40" s="101" t="n">
        <v>22</v>
      </c>
      <c r="C40" s="97" t="n">
        <f aca="false">H14</f>
        <v>28.7</v>
      </c>
      <c r="D40" s="101" t="n">
        <v>31</v>
      </c>
    </row>
    <row r="41" customFormat="false" ht="15" hidden="false" customHeight="false" outlineLevel="0" collapsed="false">
      <c r="A41" s="7" t="s">
        <v>1048</v>
      </c>
      <c r="B41" s="78" t="n">
        <f aca="false">$B$12*B35*(1-$B$6)</f>
        <v>718.502401213034</v>
      </c>
      <c r="C41" s="78" t="n">
        <f aca="false">$B$12*C35*(1-$B$6)</f>
        <v>838.252801415207</v>
      </c>
      <c r="D41" s="78" t="n">
        <f aca="false">$B$12*D35*(1-$B$6)</f>
        <v>958.003201617379</v>
      </c>
    </row>
    <row r="42" customFormat="false" ht="15" hidden="false" customHeight="false" outlineLevel="0" collapsed="false">
      <c r="A42" s="7" t="s">
        <v>1049</v>
      </c>
      <c r="B42" s="78" t="n">
        <f aca="false">$B$13*B36*(1-$B$6)</f>
        <v>193.12299435</v>
      </c>
      <c r="C42" s="78" t="n">
        <f aca="false">$B$13*C36*(1-$B$6)</f>
        <v>228.23626605</v>
      </c>
      <c r="D42" s="78" t="n">
        <f aca="false">$B$13*D36*(1-$B$6)</f>
        <v>245.7929019</v>
      </c>
    </row>
    <row r="43" customFormat="false" ht="15" hidden="false" customHeight="false" outlineLevel="0" collapsed="false">
      <c r="A43" s="7" t="s">
        <v>1050</v>
      </c>
      <c r="B43" s="78" t="n">
        <f aca="false">$B$14*B37*(1-$B$6)</f>
        <v>114.087281343915</v>
      </c>
      <c r="C43" s="78" t="n">
        <f aca="false">$B$14*C37*(1-$B$6)</f>
        <v>129.644637890812</v>
      </c>
      <c r="D43" s="78" t="n">
        <f aca="false">$B$14*D37*(1-$B$6)</f>
        <v>140.016208922078</v>
      </c>
    </row>
    <row r="44" customFormat="false" ht="15" hidden="false" customHeight="false" outlineLevel="0" collapsed="false">
      <c r="A44" s="5" t="s">
        <v>1051</v>
      </c>
      <c r="B44" s="69" t="n">
        <f aca="false">B41*B38+B42*B39+B43*B40</f>
        <v>28151.7293730963</v>
      </c>
      <c r="C44" s="69" t="n">
        <f aca="false">C41*C38+C42*C39+C43*C40</f>
        <v>40924.4506122983</v>
      </c>
      <c r="D44" s="69" t="n">
        <f aca="false">D41*D38+D42*D39+D43*D40</f>
        <v>48263.5304730143</v>
      </c>
    </row>
    <row r="45" customFormat="false" ht="15" hidden="false" customHeight="false" outlineLevel="0" collapsed="false">
      <c r="A45" s="5" t="s">
        <v>1052</v>
      </c>
      <c r="B45" s="69" t="n">
        <f aca="false">B44*$B$22+$B$27</f>
        <v>28070.7293730963</v>
      </c>
      <c r="C45" s="69" t="n">
        <f aca="false">C44*$B$22+$B$27</f>
        <v>40843.4506122983</v>
      </c>
      <c r="D45" s="69" t="n">
        <f aca="false">D44*$B$22+$B$27</f>
        <v>48182.5304730143</v>
      </c>
    </row>
    <row r="46" customFormat="false" ht="15" hidden="false" customHeight="false" outlineLevel="0" collapsed="false">
      <c r="A46" s="5" t="s">
        <v>1053</v>
      </c>
      <c r="B46" s="92" t="n">
        <f aca="false">B45/$B$5</f>
        <v>848.571020952124</v>
      </c>
      <c r="C46" s="92" t="n">
        <f aca="false">C45/$B$5</f>
        <v>1234.6871406378</v>
      </c>
      <c r="D46" s="92" t="n">
        <f aca="false">D45/$B$5</f>
        <v>1456.54566121567</v>
      </c>
    </row>
    <row r="47" customFormat="false" ht="15" hidden="false" customHeight="false" outlineLevel="0" collapsed="false">
      <c r="A47" s="7" t="s">
        <v>1054</v>
      </c>
      <c r="B47" s="31" t="n">
        <f aca="false">B46/$B$4-1</f>
        <v>-0.178537249804333</v>
      </c>
      <c r="C47" s="31" t="n">
        <f aca="false">C46/$B$4-1</f>
        <v>0.195244085806191</v>
      </c>
      <c r="D47" s="31" t="n">
        <f aca="false">D46/$B$4-1</f>
        <v>0.410015160905778</v>
      </c>
    </row>
    <row r="48" customFormat="false" ht="15" hidden="false" customHeight="false" outlineLevel="0" collapsed="false">
      <c r="A48" s="5" t="s">
        <v>1055</v>
      </c>
      <c r="B48" s="57" t="n">
        <f aca="false">(B44*$C$22+$C$27)/$B$5</f>
        <v>663.250000277213</v>
      </c>
      <c r="C48" s="57" t="n">
        <f aca="false">(C44*$C$22+$C$27)/$B$5</f>
        <v>965.284118979061</v>
      </c>
      <c r="D48" s="57" t="n">
        <f aca="false">(D44*$C$22+$C$27)/$B$5</f>
        <v>1138.82994968352</v>
      </c>
    </row>
    <row r="49" customFormat="false" ht="15" hidden="false" customHeight="false" outlineLevel="0" collapsed="false">
      <c r="A49" s="99" t="s">
        <v>1056</v>
      </c>
      <c r="C49" s="96" t="n">
        <f aca="false">ROUND(C46-B29,4)</f>
        <v>0</v>
      </c>
    </row>
    <row r="51" customFormat="false" ht="15" hidden="false" customHeight="false" outlineLevel="0" collapsed="false">
      <c r="A51" s="4" t="s">
        <v>1057</v>
      </c>
      <c r="B51" s="2"/>
      <c r="C51" s="2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A52" s="5" t="s">
        <v>1058</v>
      </c>
      <c r="B52" s="105" t="n">
        <v>35</v>
      </c>
      <c r="C52" s="98" t="n">
        <f aca="false">H12</f>
        <v>40.6322881575538</v>
      </c>
      <c r="D52" s="105" t="n">
        <v>45</v>
      </c>
    </row>
    <row r="53" customFormat="false" ht="15" hidden="false" customHeight="false" outlineLevel="0" collapsed="false">
      <c r="A53" s="106" t="n">
        <v>0.05</v>
      </c>
      <c r="B53" s="107" t="n">
        <f aca="false">(($B$12*$A53*(1-$B$6)*B$52+$I$13+$I$14)*$B$22+$B$27)/$B$5</f>
        <v>838.562311720045</v>
      </c>
      <c r="C53" s="107" t="n">
        <f aca="false">(($B$12*$A53*(1-$B$6)*C$52+$I$13+$I$14)*$B$22+$B$27)/$B$5</f>
        <v>940.507408594443</v>
      </c>
      <c r="D53" s="107" t="n">
        <f aca="false">(($B$12*$A53*(1-$B$6)*D$52+$I$13+$I$14)*$B$22+$B$27)/$B$5</f>
        <v>1019.56352121547</v>
      </c>
    </row>
    <row r="54" customFormat="false" ht="15" hidden="false" customHeight="false" outlineLevel="0" collapsed="false">
      <c r="A54" s="106" t="n">
        <v>0.06</v>
      </c>
      <c r="B54" s="107" t="n">
        <f aca="false">(($B$12*$A54*(1-$B$6)*B$52+$I$13+$I$14)*$B$22+$B$27)/$B$5</f>
        <v>965.263158366841</v>
      </c>
      <c r="C54" s="107" t="n">
        <f aca="false">(($B$12*$A54*(1-$B$6)*C$52+$I$13+$I$14)*$B$22+$B$27)/$B$5</f>
        <v>1087.59727461612</v>
      </c>
      <c r="D54" s="107" t="n">
        <f aca="false">(($B$12*$A54*(1-$B$6)*D$52+$I$13+$I$14)*$B$22+$B$27)/$B$5</f>
        <v>1182.46460976135</v>
      </c>
    </row>
    <row r="55" customFormat="false" ht="15" hidden="false" customHeight="false" outlineLevel="0" collapsed="false">
      <c r="A55" s="106" t="n">
        <v>0.07</v>
      </c>
      <c r="B55" s="107" t="n">
        <f aca="false">(($B$12*$A55*(1-$B$6)*B$52+$I$13+$I$14)*$B$22+$B$27)/$B$5</f>
        <v>1091.96400501364</v>
      </c>
      <c r="C55" s="107" t="n">
        <f aca="false">(($B$12*$A55*(1-$B$6)*C$52+$I$13+$I$14)*$B$22+$B$27)/$B$5</f>
        <v>1234.6871406378</v>
      </c>
      <c r="D55" s="107" t="n">
        <f aca="false">(($B$12*$A55*(1-$B$6)*D$52+$I$13+$I$14)*$B$22+$B$27)/$B$5</f>
        <v>1345.36569830723</v>
      </c>
    </row>
    <row r="56" customFormat="false" ht="15" hidden="false" customHeight="false" outlineLevel="0" collapsed="false">
      <c r="A56" s="106" t="n">
        <v>0.08</v>
      </c>
      <c r="B56" s="107" t="n">
        <f aca="false">(($B$12*$A56*(1-$B$6)*B$52+$I$13+$I$14)*$B$22+$B$27)/$B$5</f>
        <v>1218.66485166043</v>
      </c>
      <c r="C56" s="107" t="n">
        <f aca="false">(($B$12*$A56*(1-$B$6)*C$52+$I$13+$I$14)*$B$22+$B$27)/$B$5</f>
        <v>1381.77700665947</v>
      </c>
      <c r="D56" s="107" t="n">
        <f aca="false">(($B$12*$A56*(1-$B$6)*D$52+$I$13+$I$14)*$B$22+$B$27)/$B$5</f>
        <v>1508.26678685311</v>
      </c>
    </row>
    <row r="57" customFormat="false" ht="15" hidden="false" customHeight="false" outlineLevel="0" collapsed="false">
      <c r="A57" s="106" t="n">
        <v>0.09</v>
      </c>
      <c r="B57" s="107" t="n">
        <f aca="false">(($B$12*$A57*(1-$B$6)*B$52+$I$13+$I$14)*$B$22+$B$27)/$B$5</f>
        <v>1345.36569830723</v>
      </c>
      <c r="C57" s="107" t="n">
        <f aca="false">(($B$12*$A57*(1-$B$6)*C$52+$I$13+$I$14)*$B$22+$B$27)/$B$5</f>
        <v>1528.86687268115</v>
      </c>
      <c r="D57" s="107" t="n">
        <f aca="false">(($B$12*$A57*(1-$B$6)*D$52+$I$13+$I$14)*$B$22+$B$27)/$B$5</f>
        <v>1671.16787539899</v>
      </c>
    </row>
    <row r="58" customFormat="false" ht="15" hidden="false" customHeight="false" outlineLevel="0" collapsed="false">
      <c r="A58" s="99" t="s">
        <v>1059</v>
      </c>
      <c r="C58" s="96" t="n">
        <f aca="false">ROUND(C55-B29,4)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2026-10-22T18:36:48Z</dcterms:created>
  <dc:creator>openpyxl</dc:creator>
  <dc:description/>
  <dc:language>en-US</dc:language>
  <cp:lastModifiedBy/>
  <dcterms:modified xsi:type="dcterms:W3CDTF">2026-10-22T18:36:49Z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