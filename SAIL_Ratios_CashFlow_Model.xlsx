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S" sheetId="2" state="visible" r:id="rId4"/>
    <sheet name="PL" sheetId="3" state="visible" r:id="rId5"/>
    <sheet name="CashFlow" sheetId="4" state="visible" r:id="rId6"/>
    <sheet name="Ratios" sheetId="5" state="visible" r:id="rId7"/>
    <sheet name="Assumptions" sheetId="6" state="visible" r:id="rId8"/>
    <sheet name="Mode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<sst xmlns="http://schemas.openxmlformats.org/spreadsheetml/2006/main" count="440" uniqueCount="354">
  <si>
    <t xml:space="preserve">SAIL - Ratio Analysis, Cash Flow Statement and Financial Model</t>
  </si>
  <si>
    <t xml:space="preserve">Case: Steel Authority of India Ltd, FY2015-FY2019 (Test Yourself Q3, Lesson 14 Business Model Analysis, PP-V&amp;BM, pp. 447-453)</t>
  </si>
  <si>
    <t xml:space="preserve">WHAT IS IN THIS WORKBOOK</t>
  </si>
  <si>
    <t xml:space="preserve">BS / PL: the source balance sheet and P&amp;L (blue = hard-coded input; totals are formulas and tie to the source).</t>
  </si>
  <si>
    <t xml:space="preserve">CashFlow: cash flow statement derived (indirect method) from the two balance sheets and the P&amp;L, FY16-FY19; reconciles exactly to balance-sheet cash.</t>
  </si>
  <si>
    <t xml:space="preserve">Ratios: liquidity, leverage, profitability, per-share, efficiency, DuPont and cash-flow ratios for FY15-FY19, with the source's published ratios alongside.</t>
  </si>
  <si>
    <t xml:space="preserve">Assumptions: every forecast driver in its own cell (blue on yellow = editable).</t>
  </si>
  <si>
    <t xml:space="preserve">Model: integrated income statement, balance sheet and cash flow FY20E-FY24E, with balance and cash checks.</t>
  </si>
  <si>
    <t xml:space="preserve">Valuation: FCFF DCF with CAPM-based WACC and a WACC / terminal-growth sensitivity grid.</t>
  </si>
  <si>
    <t xml:space="preserve">COLOUR CODE</t>
  </si>
  <si>
    <t xml:space="preserve">Blue text = hard-coded input | Black = formula | Green = link to another sheet | Yellow fill = forecast / key input to edit.</t>
  </si>
  <si>
    <t xml:space="preserve">MODEL INTEGRITY CHECKS (all must show OK)</t>
  </si>
  <si>
    <t xml:space="preserve">Source balance sheet balances (FY15-FY19)</t>
  </si>
  <si>
    <t xml:space="preserve">Derived closing cash = balance-sheet cash (FY16-FY19)</t>
  </si>
  <si>
    <t xml:space="preserve">Model history PAT = reported PAT</t>
  </si>
  <si>
    <t xml:space="preserve">Forecast balance sheet balances (FY20E-FY24E)</t>
  </si>
  <si>
    <t xml:space="preserve">Forecast cash flow ties to balance-sheet cash</t>
  </si>
  <si>
    <t xml:space="preserve">Forecast cash never negative</t>
  </si>
  <si>
    <t xml:space="preserve">KEY OUTPUTS</t>
  </si>
  <si>
    <t xml:space="preserve">FY19 net profit (Rs. cr)</t>
  </si>
  <si>
    <t xml:space="preserve">FY19 return on net worth</t>
  </si>
  <si>
    <t xml:space="preserve">FY19 debt-equity (x)</t>
  </si>
  <si>
    <t xml:space="preserve">FY19 derived operating cash flow (Rs. cr)</t>
  </si>
  <si>
    <t xml:space="preserve">FY24E revenue (Rs. cr)</t>
  </si>
  <si>
    <t xml:space="preserve">FY24E EBITDA margin</t>
  </si>
  <si>
    <t xml:space="preserve">FY24E PAT (Rs. cr)</t>
  </si>
  <si>
    <t xml:space="preserve">FY24E net debt / EBITDA (x)</t>
  </si>
  <si>
    <t xml:space="preserve">DCF enterprise value (Rs. cr)</t>
  </si>
  <si>
    <t xml:space="preserve">DCF intrinsic value per share (Rs.)</t>
  </si>
  <si>
    <t xml:space="preserve">KEY NOTES AND ASSUMPTIONS</t>
  </si>
  <si>
    <t xml:space="preserve">1. Source figures are as given in the study material (originally moneycontrol.com); they are not independently audited here.</t>
  </si>
  <si>
    <t xml:space="preserve">2. Derived cash flow: capex = change in net fixed assets + depreciation; dividends assumed paid in the year declared; interest paid = P&amp;L finance cost.</t>
  </si>
  <si>
    <t xml:space="preserve">3. The source's own cash flow (shown under CashFlow for comparison) uses its own classification and a cash definition that differs from the balance sheet.</t>
  </si>
  <si>
    <t xml:space="preserve">4. Source ratios are published using moneycontrol's definitions; the Ratios sheet uses standard textbook formulas, so some values differ (shown side by side).</t>
  </si>
  <si>
    <t xml:space="preserve">5. FY16 derived cash flow is distorted (large CFO/CFI offsets): the FY15 balance sheet carries reclassified items (DTL/DTA, loans and advances) that move between lines in FY16; the total cash change still reconciles.</t>
  </si>
  <si>
    <t xml:space="preserve">6. FY19 dividend: source shows a 5% rate in the ratios but Rs. 0 dividend amount in the P&amp;L; the amount (0) is used.</t>
  </si>
  <si>
    <t xml:space="preserve">7. Forecast drivers are illustrative management-style assumptions, not guidance. Tax is taken as a cash tax at the stated rate; DTA/DTL held flat.</t>
  </si>
  <si>
    <t xml:space="preserve">8. Interest is charged on opening borrowings to avoid circular references. DDT applies in FY20E only (abolished from 1-Apr-2020).</t>
  </si>
  <si>
    <t xml:space="preserve">9. DCF: end-of-year discounting, valuation date 31-Mar-2019, non-operating other income excluded from FCFF; WACC inputs are assumptions.</t>
  </si>
  <si>
    <t xml:space="preserve">Steel Authority of India Ltd - Balance Sheet</t>
  </si>
  <si>
    <t xml:space="preserve">Rs. crore | 31 March | source data (blue = hard-coded input)</t>
  </si>
  <si>
    <t xml:space="preserve">Particulars</t>
  </si>
  <si>
    <t xml:space="preserve">Note</t>
  </si>
  <si>
    <t xml:space="preserve">FY15</t>
  </si>
  <si>
    <t xml:space="preserve">FY16</t>
  </si>
  <si>
    <t xml:space="preserve">FY17</t>
  </si>
  <si>
    <t xml:space="preserve">FY18</t>
  </si>
  <si>
    <t xml:space="preserve">FY19</t>
  </si>
  <si>
    <t xml:space="preserve">EQUITY AND LIABILITIES</t>
  </si>
  <si>
    <t xml:space="preserve">Equity share capital</t>
  </si>
  <si>
    <t xml:space="preserve">Reserves and surplus</t>
  </si>
  <si>
    <t xml:space="preserve">Total shareholders' funds</t>
  </si>
  <si>
    <t xml:space="preserve">NON-CURRENT LIABILITIES</t>
  </si>
  <si>
    <t xml:space="preserve">Long-term borrowings</t>
  </si>
  <si>
    <t xml:space="preserve">Deferred tax liabilities (net)</t>
  </si>
  <si>
    <t xml:space="preserve">Other long-term liabilities</t>
  </si>
  <si>
    <t xml:space="preserve">Long-term provisions</t>
  </si>
  <si>
    <t xml:space="preserve">Total non-current liabilities</t>
  </si>
  <si>
    <t xml:space="preserve">CURRENT LIABILITIES</t>
  </si>
  <si>
    <t xml:space="preserve">Short-term borrowings</t>
  </si>
  <si>
    <t xml:space="preserve">Trade payables</t>
  </si>
  <si>
    <t xml:space="preserve">Other current liabilities</t>
  </si>
  <si>
    <t xml:space="preserve">Short-term provisions</t>
  </si>
  <si>
    <t xml:space="preserve">Total current liabilities</t>
  </si>
  <si>
    <t xml:space="preserve">TOTAL CAPITAL AND LIABILITIES</t>
  </si>
  <si>
    <t xml:space="preserve">ASSETS</t>
  </si>
  <si>
    <t xml:space="preserve">Tangible assets</t>
  </si>
  <si>
    <t xml:space="preserve">Intangible assets</t>
  </si>
  <si>
    <t xml:space="preserve">Capital work-in-progress</t>
  </si>
  <si>
    <t xml:space="preserve">Other assets</t>
  </si>
  <si>
    <t xml:space="preserve">Fixed assets (incl. CWIP)</t>
  </si>
  <si>
    <t xml:space="preserve">Non-current investments</t>
  </si>
  <si>
    <t xml:space="preserve">Deferred tax assets (net)</t>
  </si>
  <si>
    <t xml:space="preserve">Long-term loans and advances</t>
  </si>
  <si>
    <t xml:space="preserve">Other non-current assets</t>
  </si>
  <si>
    <t xml:space="preserve">Total non-current assets</t>
  </si>
  <si>
    <t xml:space="preserve">Inventories</t>
  </si>
  <si>
    <t xml:space="preserve">Trade receivables</t>
  </si>
  <si>
    <t xml:space="preserve">Cash and cash equivalents</t>
  </si>
  <si>
    <t xml:space="preserve">Short-term loans and advances</t>
  </si>
  <si>
    <t xml:space="preserve">Other current assets</t>
  </si>
  <si>
    <t xml:space="preserve">Total current assets</t>
  </si>
  <si>
    <t xml:space="preserve">TOTAL ASSETS</t>
  </si>
  <si>
    <t xml:space="preserve">Check: total assets - total capital &amp; liabilities (must be 0)</t>
  </si>
  <si>
    <t xml:space="preserve">Steel Authority of India Ltd - Profit &amp; Loss Account</t>
  </si>
  <si>
    <t xml:space="preserve">Rs. crore | year ended 31 March | source data (blue = hard-coded input)</t>
  </si>
  <si>
    <t xml:space="preserve">INCOME</t>
  </si>
  <si>
    <t xml:space="preserve">Revenue from operations [gross]</t>
  </si>
  <si>
    <t xml:space="preserve">Less: excise / service tax / other levies</t>
  </si>
  <si>
    <t xml:space="preserve">Revenue from operations [net]</t>
  </si>
  <si>
    <t xml:space="preserve">Other operating revenues</t>
  </si>
  <si>
    <t xml:space="preserve">Total operating revenues</t>
  </si>
  <si>
    <t xml:space="preserve">Other income</t>
  </si>
  <si>
    <t xml:space="preserve">Total revenue</t>
  </si>
  <si>
    <t xml:space="preserve">EXPENSES</t>
  </si>
  <si>
    <t xml:space="preserve">Cost of materials consumed</t>
  </si>
  <si>
    <t xml:space="preserve">Purchase of stock-in-trade</t>
  </si>
  <si>
    <t xml:space="preserve">Changes in inventories of FG, WIP and stock-in-trade</t>
  </si>
  <si>
    <t xml:space="preserve">Employee benefit expenses</t>
  </si>
  <si>
    <t xml:space="preserve">Finance costs</t>
  </si>
  <si>
    <t xml:space="preserve">Depreciation and amortisation expenses</t>
  </si>
  <si>
    <t xml:space="preserve">Other expenses</t>
  </si>
  <si>
    <t xml:space="preserve">Total expenses</t>
  </si>
  <si>
    <t xml:space="preserve">Profit/(loss) before exceptional items and tax</t>
  </si>
  <si>
    <t xml:space="preserve">Exceptional items</t>
  </si>
  <si>
    <t xml:space="preserve">Profit/(loss) before tax</t>
  </si>
  <si>
    <t xml:space="preserve">TAX EXPENSE</t>
  </si>
  <si>
    <t xml:space="preserve">Current tax</t>
  </si>
  <si>
    <t xml:space="preserve">Less: MAT credit entitlement</t>
  </si>
  <si>
    <t xml:space="preserve">Deferred tax</t>
  </si>
  <si>
    <t xml:space="preserve">Tax for earlier years</t>
  </si>
  <si>
    <t xml:space="preserve">Total tax expenses</t>
  </si>
  <si>
    <t xml:space="preserve">Profit/(loss) after tax, before extra-ordinary items</t>
  </si>
  <si>
    <t xml:space="preserve">Prior period items</t>
  </si>
  <si>
    <t xml:space="preserve">PROFIT/(LOSS) FOR THE PERIOD</t>
  </si>
  <si>
    <t xml:space="preserve">PER SHARE AND DIVIDEND</t>
  </si>
  <si>
    <t xml:space="preserve">Basic EPS as reported (Rs.)</t>
  </si>
  <si>
    <t xml:space="preserve">Basic EPS recomputed = PAT / no. of shares (Rs.)</t>
  </si>
  <si>
    <t xml:space="preserve">Equity share dividend</t>
  </si>
  <si>
    <t xml:space="preserve">FY19: source shows 0 amount although a 5% rate is quoted; amount kept as reported</t>
  </si>
  <si>
    <t xml:space="preserve">Tax on dividend</t>
  </si>
  <si>
    <t xml:space="preserve">Steel Authority of India Ltd - Cash Flow Statement</t>
  </si>
  <si>
    <t xml:space="preserve">Rs. crore | derived by the indirect method from BS and P&amp;L (FY16-FY19; FY15 needs an FY14 balance sheet)</t>
  </si>
  <si>
    <t xml:space="preserve">A. CASH FLOW FROM OPERATING ACTIVITIES  (indirect method, derived from BS and P&amp;L)</t>
  </si>
  <si>
    <t xml:space="preserve">Profit/(loss) for the period</t>
  </si>
  <si>
    <t xml:space="preserve">Add: depreciation and amortisation</t>
  </si>
  <si>
    <t xml:space="preserve">Add: finance costs (shown under financing)</t>
  </si>
  <si>
    <t xml:space="preserve">Other reserve movements (OCI / adjustments)</t>
  </si>
  <si>
    <t xml:space="preserve">Change in reserves not explained by PAT and dividends</t>
  </si>
  <si>
    <t xml:space="preserve">Operating profit before working-capital changes</t>
  </si>
  <si>
    <t xml:space="preserve">(Increase)/decrease in inventories</t>
  </si>
  <si>
    <t xml:space="preserve">(Increase)/decrease in trade receivables</t>
  </si>
  <si>
    <t xml:space="preserve">(Increase)/decrease in short-term loans and advances</t>
  </si>
  <si>
    <t xml:space="preserve">(Increase)/decrease in other current assets</t>
  </si>
  <si>
    <t xml:space="preserve">(Increase)/decrease in long-term loans and advances</t>
  </si>
  <si>
    <t xml:space="preserve">(Increase)/decrease in other non-current assets</t>
  </si>
  <si>
    <t xml:space="preserve">(Increase)/decrease in deferred tax assets</t>
  </si>
  <si>
    <t xml:space="preserve">Increase/(decrease) in trade payables</t>
  </si>
  <si>
    <t xml:space="preserve">Increase/(decrease) in other current liabilities</t>
  </si>
  <si>
    <t xml:space="preserve">Increase/(decrease) in short-term provisions</t>
  </si>
  <si>
    <t xml:space="preserve">Increase/(decrease) in long-term provisions</t>
  </si>
  <si>
    <t xml:space="preserve">Increase/(decrease) in other long-term liabilities</t>
  </si>
  <si>
    <t xml:space="preserve">Increase/(decrease) in deferred tax liabilities</t>
  </si>
  <si>
    <t xml:space="preserve">Net change in working capital and other items</t>
  </si>
  <si>
    <t xml:space="preserve">NET CASH FROM OPERATING ACTIVITIES</t>
  </si>
  <si>
    <t xml:space="preserve">B. CASH FLOW FROM INVESTING ACTIVITIES</t>
  </si>
  <si>
    <t xml:space="preserve">Purchase of fixed assets incl. CWIP (= change in net fixed assets + depreciation)</t>
  </si>
  <si>
    <t xml:space="preserve">(Purchase)/sale of non-current investments</t>
  </si>
  <si>
    <t xml:space="preserve">NET CASH USED IN INVESTING ACTIVITIES</t>
  </si>
  <si>
    <t xml:space="preserve">C. CASH FLOW FROM FINANCING ACTIVITIES</t>
  </si>
  <si>
    <t xml:space="preserve">Proceeds/(repayment) of long-term borrowings</t>
  </si>
  <si>
    <t xml:space="preserve">Proceeds/(repayment) of short-term borrowings</t>
  </si>
  <si>
    <t xml:space="preserve">Proceeds from issue of share capital</t>
  </si>
  <si>
    <t xml:space="preserve">Dividends paid (assumed paid in the year declared)</t>
  </si>
  <si>
    <t xml:space="preserve">Tax on dividend paid</t>
  </si>
  <si>
    <t xml:space="preserve">Interest / finance costs paid (assumed = P&amp;L charge)</t>
  </si>
  <si>
    <t xml:space="preserve">NET CASH FROM/(USED IN) FINANCING ACTIVITIES</t>
  </si>
  <si>
    <t xml:space="preserve">NET INCREASE/(DECREASE) IN CASH</t>
  </si>
  <si>
    <t xml:space="preserve">Cash and cash equivalents - beginning of year</t>
  </si>
  <si>
    <t xml:space="preserve">Cash and cash equivalents - end of year</t>
  </si>
  <si>
    <t xml:space="preserve">Cash per balance sheet</t>
  </si>
  <si>
    <t xml:space="preserve">Check: derived closing cash - balance sheet cash (must be 0)</t>
  </si>
  <si>
    <t xml:space="preserve">Free cash flow = operating cash flow - capex</t>
  </si>
  <si>
    <t xml:space="preserve">CASH FLOW AS REPORTED IN THE SOURCE (moneycontrol) - for comparison only</t>
  </si>
  <si>
    <t xml:space="preserve">Net profit/loss before extraordinary items and tax</t>
  </si>
  <si>
    <t xml:space="preserve">Net cash flow from operating activities</t>
  </si>
  <si>
    <t xml:space="preserve">Net cash used in investing activities</t>
  </si>
  <si>
    <t xml:space="preserve">Net cash used from financing activities</t>
  </si>
  <si>
    <t xml:space="preserve">Net inc/dec in cash and cash equivalents</t>
  </si>
  <si>
    <t xml:space="preserve">Check: reported CFO + CFI + CFF - reported net change</t>
  </si>
  <si>
    <t xml:space="preserve">Derived CFO less reported CFO</t>
  </si>
  <si>
    <t xml:space="preserve">Differences arise because the source classifies tax, interest and other items on its own basis</t>
  </si>
  <si>
    <t xml:space="preserve">Derived CFI less reported CFI</t>
  </si>
  <si>
    <t xml:space="preserve">Steel Authority of India Ltd - Ratio Analysis</t>
  </si>
  <si>
    <t xml:space="preserve">All ratios are live formulas on the BS / PL / CashFlow sheets; closing-balance basis</t>
  </si>
  <si>
    <t xml:space="preserve">LIQUIDITY RATIOS</t>
  </si>
  <si>
    <t xml:space="preserve">Current ratio (CA / CL)</t>
  </si>
  <si>
    <t xml:space="preserve">Quick ratio ((CA - inventories) / CL)</t>
  </si>
  <si>
    <t xml:space="preserve">Cash ratio (cash / CL)</t>
  </si>
  <si>
    <t xml:space="preserve">Net working capital (CA - CL), Rs. cr</t>
  </si>
  <si>
    <t xml:space="preserve">LEVERAGE / SOLVENCY RATIOS</t>
  </si>
  <si>
    <t xml:space="preserve">Total borrowings (LT + ST), Rs. cr</t>
  </si>
  <si>
    <t xml:space="preserve">Debt-equity ratio (total borrowings / shareholders' funds)</t>
  </si>
  <si>
    <t xml:space="preserve">Long-term debt-equity ratio</t>
  </si>
  <si>
    <t xml:space="preserve">Total outside liabilities / net worth</t>
  </si>
  <si>
    <t xml:space="preserve">Debt / (debt + equity)</t>
  </si>
  <si>
    <t xml:space="preserve">Interest cover ((PBT before exceptional + finance cost) / finance cost)</t>
  </si>
  <si>
    <t xml:space="preserve">PROFITABILITY RATIOS</t>
  </si>
  <si>
    <t xml:space="preserve">Operating profit / EBITDA = total op. revenue - (total expenses - finance cost - D&amp;A), Rs. cr</t>
  </si>
  <si>
    <t xml:space="preserve">Operating profit margin (EBITDA / total operating revenue)</t>
  </si>
  <si>
    <t xml:space="preserve">EBIT = EBITDA - D&amp;A, Rs. cr</t>
  </si>
  <si>
    <t xml:space="preserve">EBIT margin</t>
  </si>
  <si>
    <t xml:space="preserve">Gross profit margin ((op. revenue - net material cost) / op. revenue)</t>
  </si>
  <si>
    <t xml:space="preserve">Net profit margin (PAT / total operating revenue)</t>
  </si>
  <si>
    <t xml:space="preserve">Return on net worth (PAT / shareholders' funds)</t>
  </si>
  <si>
    <t xml:space="preserve">Return on capital employed ((PBT before exc. + finance cost) / (total assets - CL))</t>
  </si>
  <si>
    <t xml:space="preserve">Return on assets (PAT / total assets)</t>
  </si>
  <si>
    <t xml:space="preserve">PER-SHARE RATIOS (Rs.)</t>
  </si>
  <si>
    <t xml:space="preserve">Earnings per share</t>
  </si>
  <si>
    <t xml:space="preserve">Book value per share</t>
  </si>
  <si>
    <t xml:space="preserve">Dividend per share</t>
  </si>
  <si>
    <t xml:space="preserve">Dividend payout ratio (dividend / PAT)</t>
  </si>
  <si>
    <t xml:space="preserve">EFFICIENCY / TURNOVER RATIOS</t>
  </si>
  <si>
    <t xml:space="preserve">Inventory turnover (op. revenue / closing inventory)</t>
  </si>
  <si>
    <t xml:space="preserve">Inventory days</t>
  </si>
  <si>
    <t xml:space="preserve">Debtors turnover (op. revenue / closing receivables)</t>
  </si>
  <si>
    <t xml:space="preserve">Debtors days</t>
  </si>
  <si>
    <t xml:space="preserve">Creditors days (payables / op. revenue x 365)</t>
  </si>
  <si>
    <t xml:space="preserve">Cash conversion cycle (inventory days + debtors days - creditors days)</t>
  </si>
  <si>
    <t xml:space="preserve">Fixed assets turnover (op. revenue / fixed assets)</t>
  </si>
  <si>
    <t xml:space="preserve">Total assets turnover (op. revenue / total assets)</t>
  </si>
  <si>
    <t xml:space="preserve">DUPONT ANALYSIS  (ROE = net margin x asset turnover x equity multiplier)</t>
  </si>
  <si>
    <t xml:space="preserve">Net profit margin</t>
  </si>
  <si>
    <t xml:space="preserve">Total assets turnover</t>
  </si>
  <si>
    <t xml:space="preserve">Equity multiplier (total assets / shareholders' funds)</t>
  </si>
  <si>
    <t xml:space="preserve">ROE = product of the three</t>
  </si>
  <si>
    <t xml:space="preserve">CASH-FLOW RATIOS  (from derived cash flow statement, FY16 onwards)</t>
  </si>
  <si>
    <t xml:space="preserve">Operating cash flow / total borrowings</t>
  </si>
  <si>
    <t xml:space="preserve">Free cash flow (CFO - capex), Rs. cr</t>
  </si>
  <si>
    <t xml:space="preserve">Operating cash flow / PAT</t>
  </si>
  <si>
    <t xml:space="preserve">Cash interest cover ((CFO + interest) / interest)</t>
  </si>
  <si>
    <t xml:space="preserve">RATIOS AS PUBLISHED IN THE SOURCE (moneycontrol) - for comparison; the source uses its own definitions</t>
  </si>
  <si>
    <t xml:space="preserve">Current ratio</t>
  </si>
  <si>
    <t xml:space="preserve">Quick ratio</t>
  </si>
  <si>
    <t xml:space="preserve">Debt equity ratio</t>
  </si>
  <si>
    <t xml:space="preserve">Interest cover</t>
  </si>
  <si>
    <t xml:space="preserve">Operating profit margin</t>
  </si>
  <si>
    <t xml:space="preserve">Return on net worth</t>
  </si>
  <si>
    <t xml:space="preserve">Inventory turnover ratio</t>
  </si>
  <si>
    <t xml:space="preserve">Debtors turnover ratio</t>
  </si>
  <si>
    <t xml:space="preserve">Forecast Assumptions</t>
  </si>
  <si>
    <t xml:space="preserve">Rs. crore | blue/yellow cells are inputs - change them and the whole model recalculates</t>
  </si>
  <si>
    <t xml:space="preserve">Actual</t>
  </si>
  <si>
    <t xml:space="preserve">Forecast</t>
  </si>
  <si>
    <t xml:space="preserve">FY20E</t>
  </si>
  <si>
    <t xml:space="preserve">FY21E</t>
  </si>
  <si>
    <t xml:space="preserve">FY22E</t>
  </si>
  <si>
    <t xml:space="preserve">FY23E</t>
  </si>
  <si>
    <t xml:space="preserve">FY24E</t>
  </si>
  <si>
    <t xml:space="preserve">GENERAL</t>
  </si>
  <si>
    <t xml:space="preserve">Face value per equity share (Rs.)</t>
  </si>
  <si>
    <t xml:space="preserve">INCOME STATEMENT DRIVERS (hist. = computed from data; forecast = input)</t>
  </si>
  <si>
    <t xml:space="preserve">Total operating revenue growth</t>
  </si>
  <si>
    <t xml:space="preserve">Net material cost (cost of materials + purchases + inventory change) % of op. revenue</t>
  </si>
  <si>
    <t xml:space="preserve">Employee cost % of op. revenue</t>
  </si>
  <si>
    <t xml:space="preserve">Other expenses % of op. revenue</t>
  </si>
  <si>
    <t xml:space="preserve">Other income % of op. revenue</t>
  </si>
  <si>
    <t xml:space="preserve">Depreciation % of opening net fixed assets</t>
  </si>
  <si>
    <t xml:space="preserve">Interest rate on opening total borrowings</t>
  </si>
  <si>
    <t xml:space="preserve">Tax rate (hist. = effective rate where PBT &gt; 0)</t>
  </si>
  <si>
    <t xml:space="preserve">25.17% = Sec 115BAA rate; use 34.94% if old regime applies</t>
  </si>
  <si>
    <t xml:space="preserve">Exceptional items (Rs. cr)</t>
  </si>
  <si>
    <t xml:space="preserve">Prior-period items (Rs. cr)</t>
  </si>
  <si>
    <t xml:space="preserve">Dividend payout (% of PAT)</t>
  </si>
  <si>
    <t xml:space="preserve">Dividend distribution tax rate (abolished w.e.f. 1-Apr-2020)</t>
  </si>
  <si>
    <t xml:space="preserve">BALANCE SHEET DRIVERS</t>
  </si>
  <si>
    <t xml:space="preserve">Inventory days (on op. revenue)</t>
  </si>
  <si>
    <t xml:space="preserve">Receivable days (on op. revenue)</t>
  </si>
  <si>
    <t xml:space="preserve">Payable days (on op. revenue)</t>
  </si>
  <si>
    <t xml:space="preserve">Other current assets % of op. revenue</t>
  </si>
  <si>
    <t xml:space="preserve">Other current liabilities % of op. revenue</t>
  </si>
  <si>
    <t xml:space="preserve">CAPEX AND FINANCING (Rs. cr)</t>
  </si>
  <si>
    <t xml:space="preserve">Capital expenditure incl. CWIP</t>
  </si>
  <si>
    <t xml:space="preserve">New long-term borrowings</t>
  </si>
  <si>
    <t xml:space="preserve">Repayment of long-term borrowings</t>
  </si>
  <si>
    <t xml:space="preserve">Net change in short-term borrowings</t>
  </si>
  <si>
    <t xml:space="preserve">HELD CONSTANT AT FY19 LEVEL IN THE FORECAST</t>
  </si>
  <si>
    <t xml:space="preserve">Share capital, DTL/DTA, other long-term liabilities, long-term provisions, short-term provisions,</t>
  </si>
  <si>
    <t xml:space="preserve">non-current investments, long-term and short-term loans &amp; advances, other non-current assets.</t>
  </si>
  <si>
    <t xml:space="preserve">Three-Statement Financial Model FY20E-FY24E</t>
  </si>
  <si>
    <t xml:space="preserve">Rs. crore | history links to the data sheets; forecast driven by the Assumptions sheet</t>
  </si>
  <si>
    <t xml:space="preserve">INCOME STATEMENT  (Rs. crore)</t>
  </si>
  <si>
    <t xml:space="preserve">Total operating revenue</t>
  </si>
  <si>
    <t xml:space="preserve">  growth %</t>
  </si>
  <si>
    <t xml:space="preserve">Net material cost</t>
  </si>
  <si>
    <t xml:space="preserve">EBITDA</t>
  </si>
  <si>
    <t xml:space="preserve">  EBITDA margin</t>
  </si>
  <si>
    <t xml:space="preserve">Depreciation and amortisation</t>
  </si>
  <si>
    <t xml:space="preserve">EBIT</t>
  </si>
  <si>
    <t xml:space="preserve">Profit before tax</t>
  </si>
  <si>
    <t xml:space="preserve">Tax expense</t>
  </si>
  <si>
    <t xml:space="preserve">Prior-period items</t>
  </si>
  <si>
    <t xml:space="preserve">Profit after tax</t>
  </si>
  <si>
    <t xml:space="preserve">  PAT margin</t>
  </si>
  <si>
    <t xml:space="preserve">Dividend</t>
  </si>
  <si>
    <t xml:space="preserve">EPS (Rs.)</t>
  </si>
  <si>
    <t xml:space="preserve">Check: model PAT - reported PAT (history)</t>
  </si>
  <si>
    <t xml:space="preserve">BALANCE SHEET  (Rs. crore)</t>
  </si>
  <si>
    <t xml:space="preserve">Net fixed assets incl. CWIP</t>
  </si>
  <si>
    <t xml:space="preserve">CASH FLOW STATEMENT  (Rs. crore; history from CashFlow sheet)</t>
  </si>
  <si>
    <t xml:space="preserve">Add: finance costs</t>
  </si>
  <si>
    <t xml:space="preserve">Change in working capital and other operating items</t>
  </si>
  <si>
    <t xml:space="preserve">Cash flow from operating activities</t>
  </si>
  <si>
    <t xml:space="preserve">Capital expenditure</t>
  </si>
  <si>
    <t xml:space="preserve">Other investing (non-current investments)</t>
  </si>
  <si>
    <t xml:space="preserve">Cash flow from investing activities</t>
  </si>
  <si>
    <t xml:space="preserve">Net borrowings raised/(repaid)</t>
  </si>
  <si>
    <t xml:space="preserve">Equity raised</t>
  </si>
  <si>
    <t xml:space="preserve">Dividends and dividend tax paid</t>
  </si>
  <si>
    <t xml:space="preserve">Interest paid</t>
  </si>
  <si>
    <t xml:space="preserve">Cash flow from financing activities</t>
  </si>
  <si>
    <t xml:space="preserve">Net change in cash</t>
  </si>
  <si>
    <t xml:space="preserve">Opening cash</t>
  </si>
  <si>
    <t xml:space="preserve">Closing cash</t>
  </si>
  <si>
    <t xml:space="preserve">Check: closing cash - balance sheet cash (must be 0)</t>
  </si>
  <si>
    <t xml:space="preserve">Free cash flow (CFO - capex)</t>
  </si>
  <si>
    <t xml:space="preserve">KEY RATIOS</t>
  </si>
  <si>
    <t xml:space="preserve">Debt-equity (x)</t>
  </si>
  <si>
    <t xml:space="preserve">Interest cover (x)</t>
  </si>
  <si>
    <t xml:space="preserve">Current ratio (x)</t>
  </si>
  <si>
    <t xml:space="preserve">Return on equity</t>
  </si>
  <si>
    <t xml:space="preserve">Net debt (Rs. cr)</t>
  </si>
  <si>
    <t xml:space="preserve">Net debt / EBITDA (x)</t>
  </si>
  <si>
    <t xml:space="preserve">DCF Valuation (FCFF) - valuation date 31-Mar-2019</t>
  </si>
  <si>
    <t xml:space="preserve">Rs. crore unless stated | FCFF taken from the Model sheet | illustrative - not investment advice</t>
  </si>
  <si>
    <t xml:space="preserve">COST OF CAPITAL</t>
  </si>
  <si>
    <t xml:space="preserve">Risk-free rate</t>
  </si>
  <si>
    <t xml:space="preserve">Indian 10-year G-Sec yield (assumption)</t>
  </si>
  <si>
    <t xml:space="preserve">Equity beta</t>
  </si>
  <si>
    <t xml:space="preserve">Assumption for a cyclical steel producer</t>
  </si>
  <si>
    <t xml:space="preserve">Equity risk premium</t>
  </si>
  <si>
    <t xml:space="preserve">Assumption</t>
  </si>
  <si>
    <t xml:space="preserve">Cost of equity (CAPM) = Rf + beta x ERP</t>
  </si>
  <si>
    <t xml:space="preserve">Pre-tax cost of debt</t>
  </si>
  <si>
    <t xml:space="preserve">Assumption (= forecast interest rate)</t>
  </si>
  <si>
    <t xml:space="preserve">Tax rate</t>
  </si>
  <si>
    <t xml:space="preserve">Post-tax cost of debt</t>
  </si>
  <si>
    <t xml:space="preserve">Target debt / (debt + equity)</t>
  </si>
  <si>
    <t xml:space="preserve">WACC</t>
  </si>
  <si>
    <t xml:space="preserve">Terminal growth rate</t>
  </si>
  <si>
    <t xml:space="preserve">FREE CASH FLOW TO FIRM</t>
  </si>
  <si>
    <t xml:space="preserve">Less: tax on EBIT</t>
  </si>
  <si>
    <t xml:space="preserve">NOPAT</t>
  </si>
  <si>
    <t xml:space="preserve">Change in working capital and other items</t>
  </si>
  <si>
    <t xml:space="preserve">Less: capital expenditure</t>
  </si>
  <si>
    <t xml:space="preserve">Free cash flow to firm (FCFF)</t>
  </si>
  <si>
    <t xml:space="preserve">Discount period (years, end-of-year)</t>
  </si>
  <si>
    <t xml:space="preserve">Discount factor</t>
  </si>
  <si>
    <t xml:space="preserve">Present value of FCFF</t>
  </si>
  <si>
    <t xml:space="preserve">ENTERPRISE VALUE TO EQUITY VALUE</t>
  </si>
  <si>
    <t xml:space="preserve">Sum of PV of FCFF (FY20E-FY24E)</t>
  </si>
  <si>
    <t xml:space="preserve">Terminal-year FCFF = FY24E FCFF x (1+g)</t>
  </si>
  <si>
    <t xml:space="preserve">Terminal value (Gordon growth) = FCFF / (WACC - g)</t>
  </si>
  <si>
    <t xml:space="preserve">PV of terminal value</t>
  </si>
  <si>
    <t xml:space="preserve">Enterprise value</t>
  </si>
  <si>
    <t xml:space="preserve">Less: total borrowings (31-Mar-2019)</t>
  </si>
  <si>
    <t xml:space="preserve">Add: cash and cash equivalents</t>
  </si>
  <si>
    <t xml:space="preserve">Add: non-current investments (non-operating, at book value)</t>
  </si>
  <si>
    <t xml:space="preserve">Equity value</t>
  </si>
  <si>
    <t xml:space="preserve">Number of shares (crore)</t>
  </si>
  <si>
    <t xml:space="preserve">Intrinsic value per share (Rs.)</t>
  </si>
  <si>
    <t xml:space="preserve">Terminal value as % of enterprise value</t>
  </si>
  <si>
    <t xml:space="preserve">SENSITIVITY - intrinsic value per share (Rs.): WACC (down) vs terminal growth (across)</t>
  </si>
  <si>
    <t xml:space="preserve">WACC \ g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</si>
</sst>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;\(#,##0\);\-"/>
    <numFmt numFmtId="166" formatCode="0.0%;\(0.0%\);\-"/>
    <numFmt numFmtId="167" formatCode="0.00\x;\(0.00&quot;x)&quot;;\-"/>
    <numFmt numFmtId="168" formatCode="#,##0.00"/>
    <numFmt numFmtId="169" formatCode="@"/>
    <numFmt numFmtId="170" formatCode="#,##0.00;\(#,##0.00\);\-"/>
    <numFmt numFmtId="171" formatCode="0.00;\(0.00\);\-"/>
    <numFmt numFmtId="172" formatCode="0.0;\(0.0\);\-"/>
    <numFmt numFmtId="173" formatCode="0"/>
    <numFmt numFmtId="174" formatCode="0.00"/>
    <numFmt numFmtId="175" formatCode="0.00%"/>
    <numFmt numFmtId="176" formatCode="0.0000"/>
    <numFmt numFmtId="177" formatCode="0.0%"/>
    <numFmt numFmtId="178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375623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3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  <c r="C16" s="3" t="str">
        <f aca="false">IF(SUMPRODUCT(ABS(BS!C42:G42))&lt;0.05,"OK","ERROR")</f>
        <v>OK</v>
      </c>
    </row>
    <row r="17" customFormat="false" ht="15" hidden="false" customHeight="false" outlineLevel="0" collapsed="false">
      <c r="A17" s="4" t="s">
        <v>13</v>
      </c>
      <c r="C17" s="3" t="str">
        <f aca="false">IF(SUMPRODUCT(ABS(CashFlow!D43:G43))&lt;0.05,"OK","ERROR")</f>
        <v>OK</v>
      </c>
    </row>
    <row r="18" customFormat="false" ht="15" hidden="false" customHeight="false" outlineLevel="0" collapsed="false">
      <c r="A18" s="4" t="s">
        <v>14</v>
      </c>
      <c r="C18" s="3" t="str">
        <f aca="false">IF(SUMPRODUCT(ABS(Model!C26:G26))&lt;0.05,"OK","ERROR")</f>
        <v>OK</v>
      </c>
    </row>
    <row r="19" customFormat="false" ht="15" hidden="false" customHeight="false" outlineLevel="0" collapsed="false">
      <c r="A19" s="4" t="s">
        <v>15</v>
      </c>
      <c r="C19" s="3" t="str">
        <f aca="false">IF(SUMPRODUCT(ABS(Model!H52:L52))&lt;0.05,"OK","ERROR")</f>
        <v>OK</v>
      </c>
    </row>
    <row r="20" customFormat="false" ht="15" hidden="false" customHeight="false" outlineLevel="0" collapsed="false">
      <c r="A20" s="4" t="s">
        <v>16</v>
      </c>
      <c r="C20" s="3" t="str">
        <f aca="false">IF(SUMPRODUCT(ABS(Model!H71:L71))&lt;0.05,"OK","ERROR")</f>
        <v>OK</v>
      </c>
    </row>
    <row r="21" customFormat="false" ht="15" hidden="false" customHeight="false" outlineLevel="0" collapsed="false">
      <c r="A21" s="4" t="s">
        <v>17</v>
      </c>
      <c r="C21" s="3" t="str">
        <f aca="false">IF(MIN(Model!H48:L48)&gt;=0,"OK","CHECK FINANCING")</f>
        <v>OK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4" t="s">
        <v>19</v>
      </c>
      <c r="C24" s="5" t="n">
        <f aca="false">PL!G33</f>
        <v>2178.82</v>
      </c>
    </row>
    <row r="25" customFormat="false" ht="15" hidden="false" customHeight="false" outlineLevel="0" collapsed="false">
      <c r="A25" s="4" t="s">
        <v>20</v>
      </c>
      <c r="C25" s="6" t="n">
        <f aca="false">Ratios!G24</f>
        <v>0.0571095763555733</v>
      </c>
    </row>
    <row r="26" customFormat="false" ht="15" hidden="false" customHeight="false" outlineLevel="0" collapsed="false">
      <c r="A26" s="4" t="s">
        <v>21</v>
      </c>
      <c r="C26" s="7" t="n">
        <f aca="false">Ratios!G12</f>
        <v>1.08603341880819</v>
      </c>
    </row>
    <row r="27" customFormat="false" ht="15" hidden="false" customHeight="false" outlineLevel="0" collapsed="false">
      <c r="A27" s="4" t="s">
        <v>22</v>
      </c>
      <c r="C27" s="5" t="n">
        <f aca="false">CashFlow!G25</f>
        <v>7551.78</v>
      </c>
    </row>
    <row r="28" customFormat="false" ht="15" hidden="false" customHeight="false" outlineLevel="0" collapsed="false">
      <c r="A28" s="4" t="s">
        <v>23</v>
      </c>
      <c r="C28" s="5" t="n">
        <f aca="false">Model!L6</f>
        <v>90454.7628063119</v>
      </c>
    </row>
    <row r="29" customFormat="false" ht="15" hidden="false" customHeight="false" outlineLevel="0" collapsed="false">
      <c r="A29" s="4" t="s">
        <v>24</v>
      </c>
      <c r="C29" s="6" t="n">
        <f aca="false">Model!L12</f>
        <v>0.138</v>
      </c>
    </row>
    <row r="30" customFormat="false" ht="15" hidden="false" customHeight="false" outlineLevel="0" collapsed="false">
      <c r="A30" s="4" t="s">
        <v>25</v>
      </c>
      <c r="C30" s="5" t="n">
        <f aca="false">Model!L21</f>
        <v>5375.64025879087</v>
      </c>
    </row>
    <row r="31" customFormat="false" ht="15" hidden="false" customHeight="false" outlineLevel="0" collapsed="false">
      <c r="A31" s="4" t="s">
        <v>26</v>
      </c>
      <c r="C31" s="7" t="n">
        <f aca="false">Model!L80</f>
        <v>1.98813028869199</v>
      </c>
    </row>
    <row r="32" customFormat="false" ht="15" hidden="false" customHeight="false" outlineLevel="0" collapsed="false">
      <c r="A32" s="4" t="s">
        <v>27</v>
      </c>
      <c r="C32" s="5" t="n">
        <f aca="false">Valuation!C33</f>
        <v>75291.223865167</v>
      </c>
    </row>
    <row r="33" customFormat="false" ht="15" hidden="false" customHeight="false" outlineLevel="0" collapsed="false">
      <c r="A33" s="4" t="s">
        <v>28</v>
      </c>
      <c r="C33" s="8" t="n">
        <f aca="false">Valuation!C39</f>
        <v>86.3364117078608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4" t="s">
        <v>30</v>
      </c>
    </row>
    <row r="37" customFormat="false" ht="15" hidden="false" customHeight="false" outlineLevel="0" collapsed="false">
      <c r="A37" s="4" t="s">
        <v>31</v>
      </c>
    </row>
    <row r="38" customFormat="false" ht="15" hidden="false" customHeight="false" outlineLevel="0" collapsed="false">
      <c r="A38" s="4" t="s">
        <v>32</v>
      </c>
    </row>
    <row r="39" customFormat="false" ht="15" hidden="false" customHeight="false" outlineLevel="0" collapsed="false">
      <c r="A39" s="4" t="s">
        <v>33</v>
      </c>
    </row>
    <row r="40" customFormat="false" ht="15" hidden="false" customHeight="false" outlineLevel="0" collapsed="false">
      <c r="A40" s="4" t="s">
        <v>34</v>
      </c>
    </row>
    <row r="41" customFormat="false" ht="15" hidden="false" customHeight="false" outlineLevel="0" collapsed="false">
      <c r="A41" s="4" t="s">
        <v>35</v>
      </c>
    </row>
    <row r="42" customFormat="false" ht="15" hidden="false" customHeight="false" outlineLevel="0" collapsed="false">
      <c r="A42" s="4" t="s">
        <v>36</v>
      </c>
    </row>
    <row r="43" customFormat="false" ht="15" hidden="false" customHeight="false" outlineLevel="0" collapsed="false">
      <c r="A43" s="4" t="s">
        <v>37</v>
      </c>
    </row>
    <row r="44" customFormat="false" ht="15" hidden="false" customHeight="false" outlineLevel="0" collapsed="false">
      <c r="A44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"/>
    <col collapsed="false" customWidth="true" hidden="false" outlineLevel="0" max="7" min="3" style="0" width="13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9" t="s">
        <v>41</v>
      </c>
      <c r="B4" s="9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</row>
    <row r="5" customFormat="false" ht="15" hidden="false" customHeight="false" outlineLevel="0" collapsed="false">
      <c r="A5" s="11" t="s">
        <v>48</v>
      </c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4" t="s">
        <v>49</v>
      </c>
      <c r="C6" s="12" t="n">
        <v>4130.53</v>
      </c>
      <c r="D6" s="12" t="n">
        <v>4130.53</v>
      </c>
      <c r="E6" s="12" t="n">
        <v>4130.53</v>
      </c>
      <c r="F6" s="12" t="n">
        <v>4130.53</v>
      </c>
      <c r="G6" s="12" t="n">
        <v>4130.53</v>
      </c>
    </row>
    <row r="7" customFormat="false" ht="15" hidden="false" customHeight="false" outlineLevel="0" collapsed="false">
      <c r="A7" s="4" t="s">
        <v>50</v>
      </c>
      <c r="C7" s="12" t="n">
        <v>39374.25</v>
      </c>
      <c r="D7" s="12" t="n">
        <v>35065.37</v>
      </c>
      <c r="E7" s="12" t="n">
        <v>31878.53</v>
      </c>
      <c r="F7" s="12" t="n">
        <v>31583.14</v>
      </c>
      <c r="G7" s="12" t="n">
        <v>34021.04</v>
      </c>
    </row>
    <row r="8" customFormat="false" ht="15" hidden="false" customHeight="false" outlineLevel="0" collapsed="false">
      <c r="A8" s="13" t="s">
        <v>51</v>
      </c>
      <c r="B8" s="14"/>
      <c r="C8" s="15" t="n">
        <f aca="false">C6+C7</f>
        <v>43504.78</v>
      </c>
      <c r="D8" s="15" t="n">
        <f aca="false">D6+D7</f>
        <v>39195.9</v>
      </c>
      <c r="E8" s="15" t="n">
        <f aca="false">E6+E7</f>
        <v>36009.06</v>
      </c>
      <c r="F8" s="15" t="n">
        <f aca="false">F6+F7</f>
        <v>35713.67</v>
      </c>
      <c r="G8" s="15" t="n">
        <f aca="false">G6+G7</f>
        <v>38151.57</v>
      </c>
    </row>
    <row r="9" customFormat="false" ht="15" hidden="false" customHeight="false" outlineLevel="0" collapsed="false">
      <c r="A9" s="11" t="s">
        <v>52</v>
      </c>
      <c r="B9" s="11"/>
      <c r="C9" s="11"/>
      <c r="D9" s="11"/>
      <c r="E9" s="11"/>
      <c r="F9" s="11"/>
      <c r="G9" s="11"/>
    </row>
    <row r="10" customFormat="false" ht="15" hidden="false" customHeight="false" outlineLevel="0" collapsed="false">
      <c r="A10" s="4" t="s">
        <v>53</v>
      </c>
      <c r="C10" s="12" t="n">
        <v>14025.56</v>
      </c>
      <c r="D10" s="12" t="n">
        <v>17495.71</v>
      </c>
      <c r="E10" s="12" t="n">
        <v>19087.48</v>
      </c>
      <c r="F10" s="12" t="n">
        <v>29777.16</v>
      </c>
      <c r="G10" s="12" t="n">
        <v>30802.66</v>
      </c>
    </row>
    <row r="11" customFormat="false" ht="15" hidden="false" customHeight="false" outlineLevel="0" collapsed="false">
      <c r="A11" s="4" t="s">
        <v>54</v>
      </c>
      <c r="C11" s="12" t="n">
        <v>2395.19</v>
      </c>
      <c r="D11" s="12" t="n">
        <v>0</v>
      </c>
      <c r="E11" s="12" t="n">
        <v>0</v>
      </c>
      <c r="F11" s="12" t="n">
        <v>0</v>
      </c>
      <c r="G11" s="12" t="n">
        <v>0</v>
      </c>
    </row>
    <row r="12" customFormat="false" ht="15" hidden="false" customHeight="false" outlineLevel="0" collapsed="false">
      <c r="A12" s="4" t="s">
        <v>55</v>
      </c>
      <c r="C12" s="12" t="n">
        <v>1239.22</v>
      </c>
      <c r="D12" s="12" t="n">
        <v>1692.13</v>
      </c>
      <c r="E12" s="12" t="n">
        <v>1524.58</v>
      </c>
      <c r="F12" s="12" t="n">
        <v>1324.07</v>
      </c>
      <c r="G12" s="12" t="n">
        <v>1590.63</v>
      </c>
    </row>
    <row r="13" customFormat="false" ht="15" hidden="false" customHeight="false" outlineLevel="0" collapsed="false">
      <c r="A13" s="4" t="s">
        <v>56</v>
      </c>
      <c r="C13" s="12" t="n">
        <v>3705.34</v>
      </c>
      <c r="D13" s="12" t="n">
        <v>3271.65</v>
      </c>
      <c r="E13" s="12" t="n">
        <v>3593.94</v>
      </c>
      <c r="F13" s="12" t="n">
        <v>3973.28</v>
      </c>
      <c r="G13" s="12" t="n">
        <v>4295.41</v>
      </c>
    </row>
    <row r="14" customFormat="false" ht="15" hidden="false" customHeight="false" outlineLevel="0" collapsed="false">
      <c r="A14" s="13" t="s">
        <v>57</v>
      </c>
      <c r="B14" s="14"/>
      <c r="C14" s="15" t="n">
        <f aca="false">C10+C11+C12+C13</f>
        <v>21365.31</v>
      </c>
      <c r="D14" s="15" t="n">
        <f aca="false">D10+D11+D12+D13</f>
        <v>22459.49</v>
      </c>
      <c r="E14" s="15" t="n">
        <f aca="false">E10+E11+E12+E13</f>
        <v>24206</v>
      </c>
      <c r="F14" s="15" t="n">
        <f aca="false">F10+F11+F12+F13</f>
        <v>35074.51</v>
      </c>
      <c r="G14" s="15" t="n">
        <f aca="false">G10+G11+G12+G13</f>
        <v>36688.7</v>
      </c>
    </row>
    <row r="15" customFormat="false" ht="15" hidden="false" customHeight="false" outlineLevel="0" collapsed="false">
      <c r="A15" s="11" t="s">
        <v>58</v>
      </c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4" t="s">
        <v>59</v>
      </c>
      <c r="C16" s="12" t="n">
        <v>14195.16</v>
      </c>
      <c r="D16" s="12" t="n">
        <v>15574.86</v>
      </c>
      <c r="E16" s="12" t="n">
        <v>19813.04</v>
      </c>
      <c r="F16" s="12" t="n">
        <v>12244.32</v>
      </c>
      <c r="G16" s="12" t="n">
        <v>10631.22</v>
      </c>
    </row>
    <row r="17" customFormat="false" ht="15" hidden="false" customHeight="false" outlineLevel="0" collapsed="false">
      <c r="A17" s="4" t="s">
        <v>60</v>
      </c>
      <c r="C17" s="12" t="n">
        <v>3606.38</v>
      </c>
      <c r="D17" s="12" t="n">
        <v>4002.71</v>
      </c>
      <c r="E17" s="12" t="n">
        <v>5219.2</v>
      </c>
      <c r="F17" s="12" t="n">
        <v>7540.5</v>
      </c>
      <c r="G17" s="12" t="n">
        <v>7257.99</v>
      </c>
    </row>
    <row r="18" customFormat="false" ht="15" hidden="false" customHeight="false" outlineLevel="0" collapsed="false">
      <c r="A18" s="4" t="s">
        <v>61</v>
      </c>
      <c r="C18" s="12" t="n">
        <v>14016.53</v>
      </c>
      <c r="D18" s="12" t="n">
        <v>16464.66</v>
      </c>
      <c r="E18" s="12" t="n">
        <v>18377.4</v>
      </c>
      <c r="F18" s="12" t="n">
        <v>21312.62</v>
      </c>
      <c r="G18" s="12" t="n">
        <v>21399.48</v>
      </c>
    </row>
    <row r="19" customFormat="false" ht="15" hidden="false" customHeight="false" outlineLevel="0" collapsed="false">
      <c r="A19" s="4" t="s">
        <v>62</v>
      </c>
      <c r="C19" s="12" t="n">
        <v>2638.71</v>
      </c>
      <c r="D19" s="12" t="n">
        <v>2642.65</v>
      </c>
      <c r="E19" s="12" t="n">
        <v>2914.77</v>
      </c>
      <c r="F19" s="12" t="n">
        <v>2304.18</v>
      </c>
      <c r="G19" s="12" t="n">
        <v>2308.77</v>
      </c>
    </row>
    <row r="20" customFormat="false" ht="15" hidden="false" customHeight="false" outlineLevel="0" collapsed="false">
      <c r="A20" s="13" t="s">
        <v>63</v>
      </c>
      <c r="B20" s="14"/>
      <c r="C20" s="15" t="n">
        <f aca="false">C16+C17+C18+C19</f>
        <v>34456.78</v>
      </c>
      <c r="D20" s="15" t="n">
        <f aca="false">D16+D17+D18+D19</f>
        <v>38684.88</v>
      </c>
      <c r="E20" s="15" t="n">
        <f aca="false">E16+E17+E18+E19</f>
        <v>46324.41</v>
      </c>
      <c r="F20" s="15" t="n">
        <f aca="false">F16+F17+F18+F19</f>
        <v>43401.62</v>
      </c>
      <c r="G20" s="15" t="n">
        <f aca="false">G16+G17+G18+G19</f>
        <v>41597.46</v>
      </c>
    </row>
    <row r="21" customFormat="false" ht="15" hidden="false" customHeight="false" outlineLevel="0" collapsed="false">
      <c r="A21" s="13" t="s">
        <v>64</v>
      </c>
      <c r="B21" s="14"/>
      <c r="C21" s="15" t="n">
        <f aca="false">C8+C14+C20</f>
        <v>99326.87</v>
      </c>
      <c r="D21" s="15" t="n">
        <f aca="false">D8+D14+D20</f>
        <v>100340.27</v>
      </c>
      <c r="E21" s="15" t="n">
        <f aca="false">E8+E14+E20</f>
        <v>106539.47</v>
      </c>
      <c r="F21" s="15" t="n">
        <f aca="false">F8+F14+F20</f>
        <v>114189.8</v>
      </c>
      <c r="G21" s="15" t="n">
        <f aca="false">G8+G14+G20</f>
        <v>116437.73</v>
      </c>
    </row>
    <row r="23" customFormat="false" ht="15" hidden="false" customHeight="false" outlineLevel="0" collapsed="false">
      <c r="A23" s="11" t="s">
        <v>65</v>
      </c>
      <c r="B23" s="11"/>
      <c r="C23" s="11"/>
      <c r="D23" s="11"/>
      <c r="E23" s="11"/>
      <c r="F23" s="11"/>
      <c r="G23" s="11"/>
    </row>
    <row r="24" customFormat="false" ht="15" hidden="false" customHeight="false" outlineLevel="0" collapsed="false">
      <c r="A24" s="4" t="s">
        <v>66</v>
      </c>
      <c r="C24" s="12" t="n">
        <v>34658.4</v>
      </c>
      <c r="D24" s="12" t="n">
        <v>44378.87</v>
      </c>
      <c r="E24" s="12" t="n">
        <v>48762.03</v>
      </c>
      <c r="F24" s="12" t="n">
        <v>57156.09</v>
      </c>
      <c r="G24" s="12" t="n">
        <v>59907.26</v>
      </c>
    </row>
    <row r="25" customFormat="false" ht="15" hidden="false" customHeight="false" outlineLevel="0" collapsed="false">
      <c r="A25" s="4" t="s">
        <v>67</v>
      </c>
      <c r="C25" s="12" t="n">
        <v>1510.21</v>
      </c>
      <c r="D25" s="12" t="n">
        <v>1546.2</v>
      </c>
      <c r="E25" s="12" t="n">
        <v>1522.58</v>
      </c>
      <c r="F25" s="12" t="n">
        <v>1454.63</v>
      </c>
      <c r="G25" s="12" t="n">
        <v>1450.86</v>
      </c>
    </row>
    <row r="26" customFormat="false" ht="15" hidden="false" customHeight="false" outlineLevel="0" collapsed="false">
      <c r="A26" s="4" t="s">
        <v>68</v>
      </c>
      <c r="C26" s="12" t="n">
        <v>29195.82</v>
      </c>
      <c r="D26" s="12" t="n">
        <v>24927.22</v>
      </c>
      <c r="E26" s="12" t="n">
        <v>23275.39</v>
      </c>
      <c r="F26" s="12" t="n">
        <v>18395.43</v>
      </c>
      <c r="G26" s="12" t="n">
        <v>16013.5</v>
      </c>
    </row>
    <row r="27" customFormat="false" ht="15" hidden="false" customHeight="false" outlineLevel="0" collapsed="false">
      <c r="A27" s="4" t="s">
        <v>69</v>
      </c>
      <c r="C27" s="12" t="n">
        <v>0</v>
      </c>
      <c r="D27" s="12" t="n">
        <v>0.88</v>
      </c>
      <c r="E27" s="12" t="n">
        <v>0.86</v>
      </c>
      <c r="F27" s="12" t="n">
        <v>0.83</v>
      </c>
      <c r="G27" s="12" t="n">
        <v>1.09</v>
      </c>
    </row>
    <row r="28" customFormat="false" ht="15" hidden="false" customHeight="false" outlineLevel="0" collapsed="false">
      <c r="A28" s="13" t="s">
        <v>70</v>
      </c>
      <c r="B28" s="14"/>
      <c r="C28" s="15" t="n">
        <f aca="false">C24+C25+C26+C27</f>
        <v>65364.43</v>
      </c>
      <c r="D28" s="15" t="n">
        <f aca="false">D24+D25+D26+D27</f>
        <v>70853.17</v>
      </c>
      <c r="E28" s="15" t="n">
        <f aca="false">E24+E25+E26+E27</f>
        <v>73560.86</v>
      </c>
      <c r="F28" s="15" t="n">
        <f aca="false">F24+F25+F26+F27</f>
        <v>77006.98</v>
      </c>
      <c r="G28" s="15" t="n">
        <f aca="false">G24+G25+G26+G27</f>
        <v>77372.71</v>
      </c>
    </row>
    <row r="29" customFormat="false" ht="15" hidden="false" customHeight="false" outlineLevel="0" collapsed="false">
      <c r="A29" s="4" t="s">
        <v>71</v>
      </c>
      <c r="C29" s="12" t="n">
        <v>919.07</v>
      </c>
      <c r="D29" s="12" t="n">
        <v>1291.75</v>
      </c>
      <c r="E29" s="12" t="n">
        <v>1395.48</v>
      </c>
      <c r="F29" s="12" t="n">
        <v>1491.3</v>
      </c>
      <c r="G29" s="12" t="n">
        <v>1584.75</v>
      </c>
    </row>
    <row r="30" customFormat="false" ht="15" hidden="false" customHeight="false" outlineLevel="0" collapsed="false">
      <c r="A30" s="4" t="s">
        <v>72</v>
      </c>
      <c r="C30" s="12" t="n">
        <v>0</v>
      </c>
      <c r="D30" s="12" t="n">
        <v>1799.8</v>
      </c>
      <c r="E30" s="12" t="n">
        <v>4005.84</v>
      </c>
      <c r="F30" s="12" t="n">
        <v>4185.27</v>
      </c>
      <c r="G30" s="12" t="n">
        <v>2898.38</v>
      </c>
    </row>
    <row r="31" customFormat="false" ht="15" hidden="false" customHeight="false" outlineLevel="0" collapsed="false">
      <c r="A31" s="4" t="s">
        <v>73</v>
      </c>
      <c r="C31" s="12" t="n">
        <v>4507.25</v>
      </c>
      <c r="D31" s="12" t="n">
        <v>449.95</v>
      </c>
      <c r="E31" s="12" t="n">
        <v>453.52</v>
      </c>
      <c r="F31" s="12" t="n">
        <v>451.46</v>
      </c>
      <c r="G31" s="12" t="n">
        <v>563.98</v>
      </c>
    </row>
    <row r="32" customFormat="false" ht="15" hidden="false" customHeight="false" outlineLevel="0" collapsed="false">
      <c r="A32" s="4" t="s">
        <v>74</v>
      </c>
      <c r="C32" s="12" t="n">
        <v>53.83</v>
      </c>
      <c r="D32" s="12" t="n">
        <v>1746.95</v>
      </c>
      <c r="E32" s="12" t="n">
        <v>1578.35</v>
      </c>
      <c r="F32" s="12" t="n">
        <v>1416.59</v>
      </c>
      <c r="G32" s="12" t="n">
        <v>1768.64</v>
      </c>
    </row>
    <row r="33" customFormat="false" ht="15" hidden="false" customHeight="false" outlineLevel="0" collapsed="false">
      <c r="A33" s="13" t="s">
        <v>75</v>
      </c>
      <c r="B33" s="14"/>
      <c r="C33" s="15" t="n">
        <f aca="false">C28+C29+C30+C31+C32</f>
        <v>70844.58</v>
      </c>
      <c r="D33" s="15" t="n">
        <f aca="false">D28+D29+D30+D31+D32</f>
        <v>76141.62</v>
      </c>
      <c r="E33" s="15" t="n">
        <f aca="false">E28+E29+E30+E31+E32</f>
        <v>80994.05</v>
      </c>
      <c r="F33" s="15" t="n">
        <f aca="false">F28+F29+F30+F31+F32</f>
        <v>84551.6</v>
      </c>
      <c r="G33" s="15" t="n">
        <f aca="false">G28+G29+G30+G31+G32</f>
        <v>84188.46</v>
      </c>
    </row>
    <row r="34" customFormat="false" ht="15" hidden="false" customHeight="false" outlineLevel="0" collapsed="false">
      <c r="A34" s="4" t="s">
        <v>76</v>
      </c>
      <c r="C34" s="12" t="n">
        <v>17736.37</v>
      </c>
      <c r="D34" s="12" t="n">
        <v>14679.53</v>
      </c>
      <c r="E34" s="12" t="n">
        <v>15711.35</v>
      </c>
      <c r="F34" s="12" t="n">
        <v>16996.67</v>
      </c>
      <c r="G34" s="12" t="n">
        <v>19441.8</v>
      </c>
    </row>
    <row r="35" customFormat="false" ht="15" hidden="false" customHeight="false" outlineLevel="0" collapsed="false">
      <c r="A35" s="4" t="s">
        <v>77</v>
      </c>
      <c r="C35" s="12" t="n">
        <v>3192</v>
      </c>
      <c r="D35" s="12" t="n">
        <v>3143.49</v>
      </c>
      <c r="E35" s="12" t="n">
        <v>2921.69</v>
      </c>
      <c r="F35" s="12" t="n">
        <v>3869.94</v>
      </c>
      <c r="G35" s="12" t="n">
        <v>4495.05</v>
      </c>
    </row>
    <row r="36" customFormat="false" ht="15" hidden="false" customHeight="false" outlineLevel="0" collapsed="false">
      <c r="A36" s="4" t="s">
        <v>78</v>
      </c>
      <c r="C36" s="12" t="n">
        <v>2305.24</v>
      </c>
      <c r="D36" s="12" t="n">
        <v>297.96</v>
      </c>
      <c r="E36" s="12" t="n">
        <v>289.09</v>
      </c>
      <c r="F36" s="12" t="n">
        <v>254.06</v>
      </c>
      <c r="G36" s="12" t="n">
        <v>219.42</v>
      </c>
    </row>
    <row r="37" customFormat="false" ht="15" hidden="false" customHeight="false" outlineLevel="0" collapsed="false">
      <c r="A37" s="4" t="s">
        <v>79</v>
      </c>
      <c r="C37" s="12" t="n">
        <v>3056.33</v>
      </c>
      <c r="D37" s="12" t="n">
        <v>64.09</v>
      </c>
      <c r="E37" s="12" t="n">
        <v>61.47</v>
      </c>
      <c r="F37" s="12" t="n">
        <v>63.41</v>
      </c>
      <c r="G37" s="12" t="n">
        <v>53.24</v>
      </c>
    </row>
    <row r="38" customFormat="false" ht="15" hidden="false" customHeight="false" outlineLevel="0" collapsed="false">
      <c r="A38" s="4" t="s">
        <v>80</v>
      </c>
      <c r="C38" s="12" t="n">
        <v>2192.35</v>
      </c>
      <c r="D38" s="12" t="n">
        <v>6013.58</v>
      </c>
      <c r="E38" s="12" t="n">
        <v>6561.82</v>
      </c>
      <c r="F38" s="12" t="n">
        <v>8454.12</v>
      </c>
      <c r="G38" s="12" t="n">
        <v>8039.76</v>
      </c>
    </row>
    <row r="39" customFormat="false" ht="15" hidden="false" customHeight="false" outlineLevel="0" collapsed="false">
      <c r="A39" s="13" t="s">
        <v>81</v>
      </c>
      <c r="B39" s="14"/>
      <c r="C39" s="15" t="n">
        <f aca="false">C34+C35+C36+C37+C38</f>
        <v>28482.29</v>
      </c>
      <c r="D39" s="15" t="n">
        <f aca="false">D34+D35+D36+D37+D38</f>
        <v>24198.65</v>
      </c>
      <c r="E39" s="15" t="n">
        <f aca="false">E34+E35+E36+E37+E38</f>
        <v>25545.42</v>
      </c>
      <c r="F39" s="15" t="n">
        <f aca="false">F34+F35+F36+F37+F38</f>
        <v>29638.2</v>
      </c>
      <c r="G39" s="15" t="n">
        <f aca="false">G34+G35+G36+G37+G38</f>
        <v>32249.27</v>
      </c>
    </row>
    <row r="40" customFormat="false" ht="15" hidden="false" customHeight="false" outlineLevel="0" collapsed="false">
      <c r="A40" s="13" t="s">
        <v>82</v>
      </c>
      <c r="B40" s="14"/>
      <c r="C40" s="15" t="n">
        <f aca="false">C33+C39</f>
        <v>99326.87</v>
      </c>
      <c r="D40" s="15" t="n">
        <f aca="false">D33+D39</f>
        <v>100340.27</v>
      </c>
      <c r="E40" s="15" t="n">
        <f aca="false">E33+E39</f>
        <v>106539.47</v>
      </c>
      <c r="F40" s="15" t="n">
        <f aca="false">F33+F39</f>
        <v>114189.8</v>
      </c>
      <c r="G40" s="15" t="n">
        <f aca="false">G33+G39</f>
        <v>116437.73</v>
      </c>
    </row>
    <row r="42" customFormat="false" ht="15" hidden="false" customHeight="false" outlineLevel="0" collapsed="false">
      <c r="A42" s="4" t="s">
        <v>83</v>
      </c>
      <c r="C42" s="16" t="n">
        <f aca="false">ROUND(C40-C21,2)</f>
        <v>0</v>
      </c>
      <c r="D42" s="16" t="n">
        <f aca="false">ROUND(D40-D21,2)</f>
        <v>0</v>
      </c>
      <c r="E42" s="16" t="n">
        <f aca="false">ROUND(E40-E21,2)</f>
        <v>0</v>
      </c>
      <c r="F42" s="16" t="n">
        <f aca="false">ROUND(F40-F21,2)</f>
        <v>0</v>
      </c>
      <c r="G42" s="16" t="n">
        <f aca="false">ROUND(G40-G21,2)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"/>
    <col collapsed="false" customWidth="true" hidden="false" outlineLevel="0" max="7" min="3" style="0" width="13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9" t="s">
        <v>41</v>
      </c>
      <c r="B4" s="9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</row>
    <row r="5" customFormat="false" ht="15" hidden="false" customHeight="false" outlineLevel="0" collapsed="false">
      <c r="A5" s="11" t="s">
        <v>86</v>
      </c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4" t="s">
        <v>87</v>
      </c>
      <c r="C6" s="12" t="n">
        <v>50650.76</v>
      </c>
      <c r="D6" s="12" t="n">
        <v>43327.5</v>
      </c>
      <c r="E6" s="12" t="n">
        <v>49212.13</v>
      </c>
      <c r="F6" s="12" t="n">
        <v>58320.82</v>
      </c>
      <c r="G6" s="12" t="n">
        <v>66295.83</v>
      </c>
    </row>
    <row r="7" customFormat="false" ht="15" hidden="false" customHeight="false" outlineLevel="0" collapsed="false">
      <c r="A7" s="4" t="s">
        <v>88</v>
      </c>
      <c r="C7" s="12" t="n">
        <v>5418.6</v>
      </c>
      <c r="D7" s="12" t="n">
        <v>4823.29</v>
      </c>
      <c r="E7" s="12" t="n">
        <v>5314.69</v>
      </c>
      <c r="F7" s="12" t="n">
        <v>1403.9</v>
      </c>
      <c r="G7" s="12" t="n">
        <v>0</v>
      </c>
    </row>
    <row r="8" customFormat="false" ht="15" hidden="false" customHeight="false" outlineLevel="0" collapsed="false">
      <c r="A8" s="17" t="s">
        <v>89</v>
      </c>
      <c r="B8" s="14"/>
      <c r="C8" s="18" t="n">
        <f aca="false">C6-C7</f>
        <v>45232.16</v>
      </c>
      <c r="D8" s="18" t="n">
        <f aca="false">D6-D7</f>
        <v>38504.21</v>
      </c>
      <c r="E8" s="18" t="n">
        <f aca="false">E6-E7</f>
        <v>43897.44</v>
      </c>
      <c r="F8" s="18" t="n">
        <f aca="false">F6-F7</f>
        <v>56916.92</v>
      </c>
      <c r="G8" s="18" t="n">
        <f aca="false">G6-G7</f>
        <v>66295.83</v>
      </c>
    </row>
    <row r="9" customFormat="false" ht="15" hidden="false" customHeight="false" outlineLevel="0" collapsed="false">
      <c r="A9" s="4" t="s">
        <v>90</v>
      </c>
      <c r="C9" s="12" t="n">
        <v>478.62</v>
      </c>
      <c r="D9" s="12" t="n">
        <v>547.67</v>
      </c>
      <c r="E9" s="12" t="n">
        <v>554.97</v>
      </c>
      <c r="F9" s="12" t="n">
        <v>641.54</v>
      </c>
      <c r="G9" s="12" t="n">
        <v>671.48</v>
      </c>
    </row>
    <row r="10" customFormat="false" ht="15" hidden="false" customHeight="false" outlineLevel="0" collapsed="false">
      <c r="A10" s="13" t="s">
        <v>91</v>
      </c>
      <c r="B10" s="14"/>
      <c r="C10" s="15" t="n">
        <f aca="false">C8+C9</f>
        <v>45710.78</v>
      </c>
      <c r="D10" s="15" t="n">
        <f aca="false">D8+D9</f>
        <v>39051.88</v>
      </c>
      <c r="E10" s="15" t="n">
        <f aca="false">E8+E9</f>
        <v>44452.41</v>
      </c>
      <c r="F10" s="15" t="n">
        <f aca="false">F8+F9</f>
        <v>57558.46</v>
      </c>
      <c r="G10" s="15" t="n">
        <f aca="false">G8+G9</f>
        <v>66967.31</v>
      </c>
    </row>
    <row r="11" customFormat="false" ht="15" hidden="false" customHeight="false" outlineLevel="0" collapsed="false">
      <c r="A11" s="4" t="s">
        <v>92</v>
      </c>
      <c r="C11" s="12" t="n">
        <v>1020.78</v>
      </c>
      <c r="D11" s="12" t="n">
        <v>594.67</v>
      </c>
      <c r="E11" s="12" t="n">
        <v>535.61</v>
      </c>
      <c r="F11" s="12" t="n">
        <v>484.45</v>
      </c>
      <c r="G11" s="12" t="n">
        <v>532.82</v>
      </c>
    </row>
    <row r="12" customFormat="false" ht="15" hidden="false" customHeight="false" outlineLevel="0" collapsed="false">
      <c r="A12" s="13" t="s">
        <v>93</v>
      </c>
      <c r="B12" s="14"/>
      <c r="C12" s="15" t="n">
        <f aca="false">C10+C11</f>
        <v>46731.56</v>
      </c>
      <c r="D12" s="15" t="n">
        <f aca="false">D10+D11</f>
        <v>39646.55</v>
      </c>
      <c r="E12" s="15" t="n">
        <f aca="false">E10+E11</f>
        <v>44988.02</v>
      </c>
      <c r="F12" s="15" t="n">
        <f aca="false">F10+F11</f>
        <v>58042.91</v>
      </c>
      <c r="G12" s="15" t="n">
        <f aca="false">G10+G11</f>
        <v>67500.13</v>
      </c>
    </row>
    <row r="13" customFormat="false" ht="15" hidden="false" customHeight="false" outlineLevel="0" collapsed="false">
      <c r="A13" s="11" t="s">
        <v>94</v>
      </c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4" t="s">
        <v>95</v>
      </c>
      <c r="C14" s="12" t="n">
        <v>18522.9</v>
      </c>
      <c r="D14" s="12" t="n">
        <v>17155.23</v>
      </c>
      <c r="E14" s="12" t="n">
        <v>21125.7</v>
      </c>
      <c r="F14" s="12" t="n">
        <v>26678.81</v>
      </c>
      <c r="G14" s="12" t="n">
        <v>32290.91</v>
      </c>
    </row>
    <row r="15" customFormat="false" ht="15" hidden="false" customHeight="false" outlineLevel="0" collapsed="false">
      <c r="A15" s="4" t="s">
        <v>96</v>
      </c>
      <c r="C15" s="12" t="n">
        <v>0.48</v>
      </c>
      <c r="D15" s="12" t="n">
        <v>0</v>
      </c>
      <c r="E15" s="12" t="n">
        <v>0</v>
      </c>
      <c r="F15" s="12" t="n">
        <v>0</v>
      </c>
      <c r="G15" s="12" t="n">
        <v>0</v>
      </c>
    </row>
    <row r="16" customFormat="false" ht="15" hidden="false" customHeight="false" outlineLevel="0" collapsed="false">
      <c r="A16" s="4" t="s">
        <v>97</v>
      </c>
      <c r="C16" s="12" t="n">
        <v>-1408.12</v>
      </c>
      <c r="D16" s="12" t="n">
        <v>540.61</v>
      </c>
      <c r="E16" s="12" t="n">
        <v>120.63</v>
      </c>
      <c r="F16" s="12" t="n">
        <v>1135.49</v>
      </c>
      <c r="G16" s="12" t="n">
        <v>-2716.62</v>
      </c>
    </row>
    <row r="17" customFormat="false" ht="15" hidden="false" customHeight="false" outlineLevel="0" collapsed="false">
      <c r="A17" s="4" t="s">
        <v>98</v>
      </c>
      <c r="C17" s="12" t="n">
        <v>9736.33</v>
      </c>
      <c r="D17" s="12" t="n">
        <v>9714.97</v>
      </c>
      <c r="E17" s="12" t="n">
        <v>8947.83</v>
      </c>
      <c r="F17" s="12" t="n">
        <v>8850.07</v>
      </c>
      <c r="G17" s="12" t="n">
        <v>8830.34</v>
      </c>
    </row>
    <row r="18" customFormat="false" ht="15" hidden="false" customHeight="false" outlineLevel="0" collapsed="false">
      <c r="A18" s="4" t="s">
        <v>99</v>
      </c>
      <c r="C18" s="12" t="n">
        <v>1454.23</v>
      </c>
      <c r="D18" s="12" t="n">
        <v>2300.45</v>
      </c>
      <c r="E18" s="12" t="n">
        <v>2527.82</v>
      </c>
      <c r="F18" s="12" t="n">
        <v>2822.75</v>
      </c>
      <c r="G18" s="12" t="n">
        <v>3154.92</v>
      </c>
    </row>
    <row r="19" customFormat="false" ht="15" hidden="false" customHeight="false" outlineLevel="0" collapsed="false">
      <c r="A19" s="4" t="s">
        <v>100</v>
      </c>
      <c r="C19" s="12" t="n">
        <v>1773.28</v>
      </c>
      <c r="D19" s="12" t="n">
        <v>2402.35</v>
      </c>
      <c r="E19" s="12" t="n">
        <v>2679.95</v>
      </c>
      <c r="F19" s="12" t="n">
        <v>3064.92</v>
      </c>
      <c r="G19" s="12" t="n">
        <v>3384.72</v>
      </c>
    </row>
    <row r="20" customFormat="false" ht="15" hidden="false" customHeight="false" outlineLevel="0" collapsed="false">
      <c r="A20" s="4" t="s">
        <v>101</v>
      </c>
      <c r="C20" s="12" t="n">
        <v>14205.32</v>
      </c>
      <c r="D20" s="12" t="n">
        <v>14540.44</v>
      </c>
      <c r="E20" s="12" t="n">
        <v>14220.21</v>
      </c>
      <c r="F20" s="12" t="n">
        <v>16276.24</v>
      </c>
      <c r="G20" s="12" t="n">
        <v>18828.57</v>
      </c>
    </row>
    <row r="21" customFormat="false" ht="15" hidden="false" customHeight="false" outlineLevel="0" collapsed="false">
      <c r="A21" s="13" t="s">
        <v>102</v>
      </c>
      <c r="B21" s="14"/>
      <c r="C21" s="15" t="n">
        <f aca="false">C14+C15+C16+C17+C18+C19+C20</f>
        <v>44284.42</v>
      </c>
      <c r="D21" s="15" t="n">
        <f aca="false">D14+D15+D16+D17+D18+D19+D20</f>
        <v>46654.05</v>
      </c>
      <c r="E21" s="15" t="n">
        <f aca="false">E14+E15+E16+E17+E18+E19+E20</f>
        <v>49622.14</v>
      </c>
      <c r="F21" s="15" t="n">
        <f aca="false">F14+F15+F16+F17+F18+F19+F20</f>
        <v>58828.28</v>
      </c>
      <c r="G21" s="15" t="n">
        <f aca="false">G14+G15+G16+G17+G18+G19+G20</f>
        <v>63772.84</v>
      </c>
    </row>
    <row r="22" customFormat="false" ht="15" hidden="false" customHeight="false" outlineLevel="0" collapsed="false">
      <c r="A22" s="13" t="s">
        <v>103</v>
      </c>
      <c r="B22" s="14"/>
      <c r="C22" s="15" t="n">
        <f aca="false">C12-C21</f>
        <v>2447.14000000001</v>
      </c>
      <c r="D22" s="15" t="n">
        <f aca="false">D12-D21</f>
        <v>-7007.5</v>
      </c>
      <c r="E22" s="15" t="n">
        <f aca="false">E12-E21</f>
        <v>-4634.12</v>
      </c>
      <c r="F22" s="15" t="n">
        <f aca="false">F12-F21</f>
        <v>-785.370000000003</v>
      </c>
      <c r="G22" s="15" t="n">
        <f aca="false">G12-G21</f>
        <v>3727.29</v>
      </c>
    </row>
    <row r="23" customFormat="false" ht="15" hidden="false" customHeight="false" outlineLevel="0" collapsed="false">
      <c r="A23" s="4" t="s">
        <v>104</v>
      </c>
      <c r="C23" s="12" t="n">
        <v>0</v>
      </c>
      <c r="D23" s="12" t="n">
        <v>0</v>
      </c>
      <c r="E23" s="12" t="n">
        <v>-216.74</v>
      </c>
      <c r="F23" s="12" t="n">
        <v>26.43</v>
      </c>
      <c r="G23" s="12" t="n">
        <v>-389.4</v>
      </c>
    </row>
    <row r="24" customFormat="false" ht="15" hidden="false" customHeight="false" outlineLevel="0" collapsed="false">
      <c r="A24" s="13" t="s">
        <v>105</v>
      </c>
      <c r="B24" s="14"/>
      <c r="C24" s="15" t="n">
        <f aca="false">C22+C23</f>
        <v>2447.14000000001</v>
      </c>
      <c r="D24" s="15" t="n">
        <f aca="false">D22+D23</f>
        <v>-7007.5</v>
      </c>
      <c r="E24" s="15" t="n">
        <f aca="false">E22+E23</f>
        <v>-4850.86</v>
      </c>
      <c r="F24" s="15" t="n">
        <f aca="false">F22+F23</f>
        <v>-758.940000000003</v>
      </c>
      <c r="G24" s="15" t="n">
        <f aca="false">G22+G23</f>
        <v>3337.89</v>
      </c>
    </row>
    <row r="25" customFormat="false" ht="15" hidden="false" customHeight="false" outlineLevel="0" collapsed="false">
      <c r="A25" s="11" t="s">
        <v>106</v>
      </c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4" t="s">
        <v>107</v>
      </c>
      <c r="C26" s="12" t="n">
        <v>499.15</v>
      </c>
      <c r="D26" s="12" t="n">
        <v>0</v>
      </c>
      <c r="E26" s="12" t="n">
        <v>0</v>
      </c>
      <c r="F26" s="12" t="n">
        <v>0</v>
      </c>
      <c r="G26" s="12" t="n">
        <v>0</v>
      </c>
    </row>
    <row r="27" customFormat="false" ht="15" hidden="false" customHeight="false" outlineLevel="0" collapsed="false">
      <c r="A27" s="4" t="s">
        <v>108</v>
      </c>
      <c r="C27" s="12" t="n">
        <v>499.15</v>
      </c>
      <c r="D27" s="12" t="n">
        <v>0</v>
      </c>
      <c r="E27" s="12" t="n">
        <v>0</v>
      </c>
      <c r="F27" s="12" t="n">
        <v>0</v>
      </c>
      <c r="G27" s="12" t="n">
        <v>0</v>
      </c>
    </row>
    <row r="28" customFormat="false" ht="15" hidden="false" customHeight="false" outlineLevel="0" collapsed="false">
      <c r="A28" s="4" t="s">
        <v>109</v>
      </c>
      <c r="C28" s="12" t="n">
        <v>282.76</v>
      </c>
      <c r="D28" s="12" t="n">
        <v>-2909.55</v>
      </c>
      <c r="E28" s="12" t="n">
        <v>-2032.76</v>
      </c>
      <c r="F28" s="12" t="n">
        <v>-312.96</v>
      </c>
      <c r="G28" s="12" t="n">
        <v>1154.23</v>
      </c>
    </row>
    <row r="29" customFormat="false" ht="15" hidden="false" customHeight="false" outlineLevel="0" collapsed="false">
      <c r="A29" s="4" t="s">
        <v>110</v>
      </c>
      <c r="C29" s="12" t="n">
        <v>-16.53</v>
      </c>
      <c r="D29" s="12" t="n">
        <v>-76.51</v>
      </c>
      <c r="E29" s="12" t="n">
        <v>15.14</v>
      </c>
      <c r="F29" s="12" t="n">
        <v>35.73</v>
      </c>
      <c r="G29" s="12" t="n">
        <v>4.84</v>
      </c>
    </row>
    <row r="30" customFormat="false" ht="15" hidden="false" customHeight="false" outlineLevel="0" collapsed="false">
      <c r="A30" s="13" t="s">
        <v>111</v>
      </c>
      <c r="B30" s="14"/>
      <c r="C30" s="15" t="n">
        <f aca="false">C26-C27+C28+C29</f>
        <v>266.23</v>
      </c>
      <c r="D30" s="15" t="n">
        <f aca="false">D26-D27+D28+D29</f>
        <v>-2986.06</v>
      </c>
      <c r="E30" s="15" t="n">
        <f aca="false">E26-E27+E28+E29</f>
        <v>-2017.62</v>
      </c>
      <c r="F30" s="15" t="n">
        <f aca="false">F26-F27+F28+F29</f>
        <v>-277.23</v>
      </c>
      <c r="G30" s="15" t="n">
        <f aca="false">G26-G27+G28+G29</f>
        <v>1159.07</v>
      </c>
    </row>
    <row r="31" customFormat="false" ht="15" hidden="false" customHeight="false" outlineLevel="0" collapsed="false">
      <c r="A31" s="17" t="s">
        <v>112</v>
      </c>
      <c r="B31" s="14"/>
      <c r="C31" s="18" t="n">
        <f aca="false">C24-C30</f>
        <v>2180.91000000001</v>
      </c>
      <c r="D31" s="18" t="n">
        <f aca="false">D24-D30</f>
        <v>-4021.44</v>
      </c>
      <c r="E31" s="18" t="n">
        <f aca="false">E24-E30</f>
        <v>-2833.24</v>
      </c>
      <c r="F31" s="18" t="n">
        <f aca="false">F24-F30</f>
        <v>-481.710000000003</v>
      </c>
      <c r="G31" s="18" t="n">
        <f aca="false">G24-G30</f>
        <v>2178.82</v>
      </c>
    </row>
    <row r="32" customFormat="false" ht="15" hidden="false" customHeight="false" outlineLevel="0" collapsed="false">
      <c r="A32" s="4" t="s">
        <v>113</v>
      </c>
      <c r="C32" s="12" t="n">
        <v>-88.23</v>
      </c>
      <c r="D32" s="12" t="n">
        <v>0</v>
      </c>
      <c r="E32" s="12" t="n">
        <v>0</v>
      </c>
      <c r="F32" s="12" t="n">
        <v>0</v>
      </c>
      <c r="G32" s="12" t="n">
        <v>0</v>
      </c>
    </row>
    <row r="33" customFormat="false" ht="15" hidden="false" customHeight="false" outlineLevel="0" collapsed="false">
      <c r="A33" s="13" t="s">
        <v>114</v>
      </c>
      <c r="B33" s="14"/>
      <c r="C33" s="15" t="n">
        <f aca="false">C31+C32</f>
        <v>2092.68000000001</v>
      </c>
      <c r="D33" s="15" t="n">
        <f aca="false">D31+D32</f>
        <v>-4021.44</v>
      </c>
      <c r="E33" s="15" t="n">
        <f aca="false">E31+E32</f>
        <v>-2833.24</v>
      </c>
      <c r="F33" s="15" t="n">
        <f aca="false">F31+F32</f>
        <v>-481.710000000003</v>
      </c>
      <c r="G33" s="15" t="n">
        <f aca="false">G31+G32</f>
        <v>2178.82</v>
      </c>
    </row>
    <row r="34" customFormat="false" ht="15" hidden="false" customHeight="false" outlineLevel="0" collapsed="false">
      <c r="A34" s="11" t="s">
        <v>115</v>
      </c>
      <c r="B34" s="11"/>
      <c r="C34" s="11"/>
      <c r="D34" s="11"/>
      <c r="E34" s="11"/>
      <c r="F34" s="11"/>
      <c r="G34" s="11"/>
    </row>
    <row r="35" customFormat="false" ht="15" hidden="false" customHeight="false" outlineLevel="0" collapsed="false">
      <c r="A35" s="4" t="s">
        <v>116</v>
      </c>
      <c r="C35" s="19" t="n">
        <v>5.07</v>
      </c>
      <c r="D35" s="19" t="n">
        <v>-9.74</v>
      </c>
      <c r="E35" s="19" t="n">
        <v>-6.86</v>
      </c>
      <c r="F35" s="19" t="n">
        <v>-1.17</v>
      </c>
      <c r="G35" s="19" t="n">
        <v>5.27</v>
      </c>
    </row>
    <row r="36" customFormat="false" ht="15" hidden="false" customHeight="false" outlineLevel="0" collapsed="false">
      <c r="A36" s="4" t="s">
        <v>117</v>
      </c>
      <c r="C36" s="20" t="n">
        <f aca="false">C33/(BS!C6/Assumptions!$C$6)</f>
        <v>5.06637162785407</v>
      </c>
      <c r="D36" s="20" t="n">
        <f aca="false">D33/(BS!D6/Assumptions!$C$6)</f>
        <v>-9.73589345677189</v>
      </c>
      <c r="E36" s="20" t="n">
        <f aca="false">E33/(BS!E6/Assumptions!$C$6)</f>
        <v>-6.85926503378502</v>
      </c>
      <c r="F36" s="20" t="n">
        <f aca="false">F33/(BS!F6/Assumptions!$C$6)</f>
        <v>-1.16621837875528</v>
      </c>
      <c r="G36" s="20" t="n">
        <f aca="false">G33/(BS!G6/Assumptions!$C$6)</f>
        <v>5.27491629403491</v>
      </c>
    </row>
    <row r="37" customFormat="false" ht="15" hidden="false" customHeight="false" outlineLevel="0" collapsed="false">
      <c r="A37" s="4" t="s">
        <v>118</v>
      </c>
      <c r="B37" s="2"/>
      <c r="C37" s="12" t="n">
        <v>826.1</v>
      </c>
      <c r="D37" s="12" t="n">
        <v>103.26</v>
      </c>
      <c r="E37" s="12" t="n">
        <v>0</v>
      </c>
      <c r="F37" s="12" t="n">
        <v>0</v>
      </c>
      <c r="G37" s="12" t="n">
        <v>0</v>
      </c>
      <c r="I37" s="2" t="s">
        <v>119</v>
      </c>
    </row>
    <row r="38" customFormat="false" ht="15" hidden="false" customHeight="false" outlineLevel="0" collapsed="false">
      <c r="A38" s="4" t="s">
        <v>120</v>
      </c>
      <c r="C38" s="12" t="n">
        <v>164.79</v>
      </c>
      <c r="D38" s="12" t="n">
        <v>21.02</v>
      </c>
      <c r="E38" s="12" t="n">
        <v>0</v>
      </c>
      <c r="F38" s="12" t="n">
        <v>0</v>
      </c>
      <c r="G38" s="1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3"/>
    <col collapsed="false" customWidth="true" hidden="false" outlineLevel="0" max="7" min="3" style="0" width="13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9" t="s">
        <v>41</v>
      </c>
      <c r="B4" s="9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</row>
    <row r="5" customFormat="false" ht="15" hidden="false" customHeight="false" outlineLevel="0" collapsed="false">
      <c r="A5" s="11" t="s">
        <v>123</v>
      </c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4" t="s">
        <v>124</v>
      </c>
      <c r="D6" s="21" t="n">
        <f aca="false">PL!D33</f>
        <v>-4021.44</v>
      </c>
      <c r="E6" s="21" t="n">
        <f aca="false">PL!E33</f>
        <v>-2833.24</v>
      </c>
      <c r="F6" s="21" t="n">
        <f aca="false">PL!F33</f>
        <v>-481.710000000003</v>
      </c>
      <c r="G6" s="21" t="n">
        <f aca="false">PL!G33</f>
        <v>2178.82</v>
      </c>
    </row>
    <row r="7" customFormat="false" ht="15" hidden="false" customHeight="false" outlineLevel="0" collapsed="false">
      <c r="A7" s="4" t="s">
        <v>125</v>
      </c>
      <c r="D7" s="21" t="n">
        <f aca="false">PL!D19</f>
        <v>2402.35</v>
      </c>
      <c r="E7" s="21" t="n">
        <f aca="false">PL!E19</f>
        <v>2679.95</v>
      </c>
      <c r="F7" s="21" t="n">
        <f aca="false">PL!F19</f>
        <v>3064.92</v>
      </c>
      <c r="G7" s="21" t="n">
        <f aca="false">PL!G19</f>
        <v>3384.72</v>
      </c>
    </row>
    <row r="8" customFormat="false" ht="15" hidden="false" customHeight="false" outlineLevel="0" collapsed="false">
      <c r="A8" s="4" t="s">
        <v>126</v>
      </c>
      <c r="D8" s="21" t="n">
        <f aca="false">PL!D18</f>
        <v>2300.45</v>
      </c>
      <c r="E8" s="21" t="n">
        <f aca="false">PL!E18</f>
        <v>2527.82</v>
      </c>
      <c r="F8" s="21" t="n">
        <f aca="false">PL!F18</f>
        <v>2822.75</v>
      </c>
      <c r="G8" s="21" t="n">
        <f aca="false">PL!G18</f>
        <v>3154.92</v>
      </c>
    </row>
    <row r="9" customFormat="false" ht="15" hidden="false" customHeight="false" outlineLevel="0" collapsed="false">
      <c r="A9" s="4" t="s">
        <v>127</v>
      </c>
      <c r="B9" s="2"/>
      <c r="D9" s="16" t="n">
        <f aca="false">BS!D7-BS!C7-PL!D33+PL!D37+PL!D38</f>
        <v>-163.159999999998</v>
      </c>
      <c r="E9" s="16" t="n">
        <f aca="false">BS!E7-BS!D7-PL!E33+PL!E37+PL!E38</f>
        <v>-353.600000000001</v>
      </c>
      <c r="F9" s="16" t="n">
        <f aca="false">BS!F7-BS!E7-PL!F33+PL!F37+PL!F38</f>
        <v>186.320000000003</v>
      </c>
      <c r="G9" s="16" t="n">
        <f aca="false">BS!G7-BS!F7-PL!G33+PL!G37+PL!G38</f>
        <v>259.080000000001</v>
      </c>
      <c r="I9" s="2" t="s">
        <v>128</v>
      </c>
    </row>
    <row r="10" customFormat="false" ht="15" hidden="false" customHeight="false" outlineLevel="0" collapsed="false">
      <c r="A10" s="13" t="s">
        <v>129</v>
      </c>
      <c r="B10" s="14"/>
      <c r="D10" s="15" t="n">
        <f aca="false">D6+D7+D8+D9</f>
        <v>518.200000000002</v>
      </c>
      <c r="E10" s="15" t="n">
        <f aca="false">E6+E7+E8+E9</f>
        <v>2020.93</v>
      </c>
      <c r="F10" s="15" t="n">
        <f aca="false">F6+F7+F8+F9</f>
        <v>5592.28</v>
      </c>
      <c r="G10" s="15" t="n">
        <f aca="false">G6+G7+G8+G9</f>
        <v>8977.54</v>
      </c>
    </row>
    <row r="11" customFormat="false" ht="15" hidden="false" customHeight="false" outlineLevel="0" collapsed="false">
      <c r="A11" s="4" t="s">
        <v>130</v>
      </c>
      <c r="D11" s="16" t="n">
        <f aca="false">-(BS!D34-BS!C34)</f>
        <v>3056.84</v>
      </c>
      <c r="E11" s="16" t="n">
        <f aca="false">-(BS!E34-BS!D34)</f>
        <v>-1031.82</v>
      </c>
      <c r="F11" s="16" t="n">
        <f aca="false">-(BS!F34-BS!E34)</f>
        <v>-1285.32</v>
      </c>
      <c r="G11" s="16" t="n">
        <f aca="false">-(BS!G34-BS!F34)</f>
        <v>-2445.13</v>
      </c>
    </row>
    <row r="12" customFormat="false" ht="15" hidden="false" customHeight="false" outlineLevel="0" collapsed="false">
      <c r="A12" s="4" t="s">
        <v>131</v>
      </c>
      <c r="D12" s="16" t="n">
        <f aca="false">-(BS!D35-BS!C35)</f>
        <v>48.5100000000002</v>
      </c>
      <c r="E12" s="16" t="n">
        <f aca="false">-(BS!E35-BS!D35)</f>
        <v>221.8</v>
      </c>
      <c r="F12" s="16" t="n">
        <f aca="false">-(BS!F35-BS!E35)</f>
        <v>-948.25</v>
      </c>
      <c r="G12" s="16" t="n">
        <f aca="false">-(BS!G35-BS!F35)</f>
        <v>-625.11</v>
      </c>
    </row>
    <row r="13" customFormat="false" ht="15" hidden="false" customHeight="false" outlineLevel="0" collapsed="false">
      <c r="A13" s="4" t="s">
        <v>132</v>
      </c>
      <c r="D13" s="16" t="n">
        <f aca="false">-(BS!D37-BS!C37)</f>
        <v>2992.24</v>
      </c>
      <c r="E13" s="16" t="n">
        <f aca="false">-(BS!E37-BS!D37)</f>
        <v>2.62</v>
      </c>
      <c r="F13" s="16" t="n">
        <f aca="false">-(BS!F37-BS!E37)</f>
        <v>-1.94</v>
      </c>
      <c r="G13" s="16" t="n">
        <f aca="false">-(BS!G37-BS!F37)</f>
        <v>10.17</v>
      </c>
    </row>
    <row r="14" customFormat="false" ht="15" hidden="false" customHeight="false" outlineLevel="0" collapsed="false">
      <c r="A14" s="4" t="s">
        <v>133</v>
      </c>
      <c r="D14" s="16" t="n">
        <f aca="false">-(BS!D38-BS!C38)</f>
        <v>-3821.23</v>
      </c>
      <c r="E14" s="16" t="n">
        <f aca="false">-(BS!E38-BS!D38)</f>
        <v>-548.24</v>
      </c>
      <c r="F14" s="16" t="n">
        <f aca="false">-(BS!F38-BS!E38)</f>
        <v>-1892.3</v>
      </c>
      <c r="G14" s="16" t="n">
        <f aca="false">-(BS!G38-BS!F38)</f>
        <v>414.360000000001</v>
      </c>
    </row>
    <row r="15" customFormat="false" ht="15" hidden="false" customHeight="false" outlineLevel="0" collapsed="false">
      <c r="A15" s="4" t="s">
        <v>134</v>
      </c>
      <c r="D15" s="16" t="n">
        <f aca="false">-(BS!D31-BS!C31)</f>
        <v>4057.3</v>
      </c>
      <c r="E15" s="16" t="n">
        <f aca="false">-(BS!E31-BS!D31)</f>
        <v>-3.56999999999999</v>
      </c>
      <c r="F15" s="16" t="n">
        <f aca="false">-(BS!F31-BS!E31)</f>
        <v>2.06</v>
      </c>
      <c r="G15" s="16" t="n">
        <f aca="false">-(BS!G31-BS!F31)</f>
        <v>-112.52</v>
      </c>
    </row>
    <row r="16" customFormat="false" ht="15" hidden="false" customHeight="false" outlineLevel="0" collapsed="false">
      <c r="A16" s="4" t="s">
        <v>135</v>
      </c>
      <c r="D16" s="16" t="n">
        <f aca="false">-(BS!D32-BS!C32)</f>
        <v>-1693.12</v>
      </c>
      <c r="E16" s="16" t="n">
        <f aca="false">-(BS!E32-BS!D32)</f>
        <v>168.6</v>
      </c>
      <c r="F16" s="16" t="n">
        <f aca="false">-(BS!F32-BS!E32)</f>
        <v>161.76</v>
      </c>
      <c r="G16" s="16" t="n">
        <f aca="false">-(BS!G32-BS!F32)</f>
        <v>-352.05</v>
      </c>
    </row>
    <row r="17" customFormat="false" ht="15" hidden="false" customHeight="false" outlineLevel="0" collapsed="false">
      <c r="A17" s="4" t="s">
        <v>136</v>
      </c>
      <c r="D17" s="16" t="n">
        <f aca="false">-(BS!D30-BS!C30)</f>
        <v>-1799.8</v>
      </c>
      <c r="E17" s="16" t="n">
        <f aca="false">-(BS!E30-BS!D30)</f>
        <v>-2206.04</v>
      </c>
      <c r="F17" s="16" t="n">
        <f aca="false">-(BS!F30-BS!E30)</f>
        <v>-179.43</v>
      </c>
      <c r="G17" s="16" t="n">
        <f aca="false">-(BS!G30-BS!F30)</f>
        <v>1286.89</v>
      </c>
    </row>
    <row r="18" customFormat="false" ht="15" hidden="false" customHeight="false" outlineLevel="0" collapsed="false">
      <c r="A18" s="4" t="s">
        <v>137</v>
      </c>
      <c r="D18" s="16" t="n">
        <f aca="false">BS!D17-BS!C17</f>
        <v>396.33</v>
      </c>
      <c r="E18" s="16" t="n">
        <f aca="false">BS!E17-BS!D17</f>
        <v>1216.49</v>
      </c>
      <c r="F18" s="16" t="n">
        <f aca="false">BS!F17-BS!E17</f>
        <v>2321.3</v>
      </c>
      <c r="G18" s="16" t="n">
        <f aca="false">BS!G17-BS!F17</f>
        <v>-282.51</v>
      </c>
    </row>
    <row r="19" customFormat="false" ht="15" hidden="false" customHeight="false" outlineLevel="0" collapsed="false">
      <c r="A19" s="4" t="s">
        <v>138</v>
      </c>
      <c r="D19" s="16" t="n">
        <f aca="false">BS!D18-BS!C18</f>
        <v>2448.13</v>
      </c>
      <c r="E19" s="16" t="n">
        <f aca="false">BS!E18-BS!D18</f>
        <v>1912.74</v>
      </c>
      <c r="F19" s="16" t="n">
        <f aca="false">BS!F18-BS!E18</f>
        <v>2935.22</v>
      </c>
      <c r="G19" s="16" t="n">
        <f aca="false">BS!G18-BS!F18</f>
        <v>86.8600000000006</v>
      </c>
    </row>
    <row r="20" customFormat="false" ht="15" hidden="false" customHeight="false" outlineLevel="0" collapsed="false">
      <c r="A20" s="4" t="s">
        <v>139</v>
      </c>
      <c r="D20" s="16" t="n">
        <f aca="false">BS!D19-BS!C19</f>
        <v>3.94000000000005</v>
      </c>
      <c r="E20" s="16" t="n">
        <f aca="false">BS!E19-BS!D19</f>
        <v>272.12</v>
      </c>
      <c r="F20" s="16" t="n">
        <f aca="false">BS!F19-BS!E19</f>
        <v>-610.59</v>
      </c>
      <c r="G20" s="16" t="n">
        <f aca="false">BS!G19-BS!F19</f>
        <v>4.59000000000015</v>
      </c>
    </row>
    <row r="21" customFormat="false" ht="15" hidden="false" customHeight="false" outlineLevel="0" collapsed="false">
      <c r="A21" s="4" t="s">
        <v>140</v>
      </c>
      <c r="D21" s="16" t="n">
        <f aca="false">BS!D13-BS!C13</f>
        <v>-433.69</v>
      </c>
      <c r="E21" s="16" t="n">
        <f aca="false">BS!E13-BS!D13</f>
        <v>322.29</v>
      </c>
      <c r="F21" s="16" t="n">
        <f aca="false">BS!F13-BS!E13</f>
        <v>379.34</v>
      </c>
      <c r="G21" s="16" t="n">
        <f aca="false">BS!G13-BS!F13</f>
        <v>322.13</v>
      </c>
    </row>
    <row r="22" customFormat="false" ht="15" hidden="false" customHeight="false" outlineLevel="0" collapsed="false">
      <c r="A22" s="4" t="s">
        <v>141</v>
      </c>
      <c r="D22" s="16" t="n">
        <f aca="false">BS!D12-BS!C12</f>
        <v>452.91</v>
      </c>
      <c r="E22" s="16" t="n">
        <f aca="false">BS!E12-BS!D12</f>
        <v>-167.55</v>
      </c>
      <c r="F22" s="16" t="n">
        <f aca="false">BS!F12-BS!E12</f>
        <v>-200.51</v>
      </c>
      <c r="G22" s="16" t="n">
        <f aca="false">BS!G12-BS!F12</f>
        <v>266.56</v>
      </c>
    </row>
    <row r="23" customFormat="false" ht="15" hidden="false" customHeight="false" outlineLevel="0" collapsed="false">
      <c r="A23" s="4" t="s">
        <v>142</v>
      </c>
      <c r="D23" s="16" t="n">
        <f aca="false">BS!D11-BS!C11</f>
        <v>-2395.19</v>
      </c>
      <c r="E23" s="16" t="n">
        <f aca="false">BS!E11-BS!D11</f>
        <v>0</v>
      </c>
      <c r="F23" s="16" t="n">
        <f aca="false">BS!F11-BS!E11</f>
        <v>0</v>
      </c>
      <c r="G23" s="16" t="n">
        <f aca="false">BS!G11-BS!F11</f>
        <v>0</v>
      </c>
    </row>
    <row r="24" customFormat="false" ht="15" hidden="false" customHeight="false" outlineLevel="0" collapsed="false">
      <c r="A24" s="17" t="s">
        <v>143</v>
      </c>
      <c r="B24" s="14"/>
      <c r="D24" s="18" t="n">
        <f aca="false">D11+D12+D13+D14+D15+D16+D17+D18+D19+D20+D21+D22+D23</f>
        <v>3313.17</v>
      </c>
      <c r="E24" s="18" t="n">
        <f aca="false">E11+E12+E13+E14+E15+E16+E17+E18+E19+E20+E21+E22+E23</f>
        <v>159.440000000001</v>
      </c>
      <c r="F24" s="18" t="n">
        <f aca="false">F11+F12+F13+F14+F15+F16+F17+F18+F19+F20+F21+F22+F23</f>
        <v>681.339999999999</v>
      </c>
      <c r="G24" s="18" t="n">
        <f aca="false">G11+G12+G13+G14+G15+G16+G17+G18+G19+G20+G21+G22+G23</f>
        <v>-1425.76</v>
      </c>
    </row>
    <row r="25" customFormat="false" ht="15" hidden="false" customHeight="false" outlineLevel="0" collapsed="false">
      <c r="A25" s="13" t="s">
        <v>144</v>
      </c>
      <c r="B25" s="14"/>
      <c r="D25" s="15" t="n">
        <f aca="false">D10+D24</f>
        <v>3831.37</v>
      </c>
      <c r="E25" s="15" t="n">
        <f aca="false">E10+E24</f>
        <v>2180.37</v>
      </c>
      <c r="F25" s="15" t="n">
        <f aca="false">F10+F24</f>
        <v>6273.62</v>
      </c>
      <c r="G25" s="15" t="n">
        <f aca="false">G10+G24</f>
        <v>7551.78</v>
      </c>
    </row>
    <row r="26" customFormat="false" ht="15" hidden="false" customHeight="false" outlineLevel="0" collapsed="false">
      <c r="A26" s="11" t="s">
        <v>145</v>
      </c>
      <c r="B26" s="11"/>
      <c r="C26" s="11"/>
      <c r="D26" s="11"/>
      <c r="E26" s="11"/>
      <c r="F26" s="11"/>
      <c r="G26" s="11"/>
    </row>
    <row r="27" customFormat="false" ht="15" hidden="false" customHeight="false" outlineLevel="0" collapsed="false">
      <c r="A27" s="4" t="s">
        <v>146</v>
      </c>
      <c r="D27" s="16" t="n">
        <f aca="false">-(BS!D28-BS!C28+PL!D19)</f>
        <v>-7891.09000000001</v>
      </c>
      <c r="E27" s="16" t="n">
        <f aca="false">-(BS!E28-BS!D28+PL!E19)</f>
        <v>-5387.63999999999</v>
      </c>
      <c r="F27" s="16" t="n">
        <f aca="false">-(BS!F28-BS!E28+PL!F19)</f>
        <v>-6511.04</v>
      </c>
      <c r="G27" s="16" t="n">
        <f aca="false">-(BS!G28-BS!F28+PL!G19)</f>
        <v>-3750.45</v>
      </c>
    </row>
    <row r="28" customFormat="false" ht="15" hidden="false" customHeight="false" outlineLevel="0" collapsed="false">
      <c r="A28" s="4" t="s">
        <v>147</v>
      </c>
      <c r="D28" s="16" t="n">
        <f aca="false">-(BS!D29-BS!C29)</f>
        <v>-372.68</v>
      </c>
      <c r="E28" s="16" t="n">
        <f aca="false">-(BS!E29-BS!D29)</f>
        <v>-103.73</v>
      </c>
      <c r="F28" s="16" t="n">
        <f aca="false">-(BS!F29-BS!E29)</f>
        <v>-95.8199999999999</v>
      </c>
      <c r="G28" s="16" t="n">
        <f aca="false">-(BS!G29-BS!F29)</f>
        <v>-93.4500000000001</v>
      </c>
    </row>
    <row r="29" customFormat="false" ht="15" hidden="false" customHeight="false" outlineLevel="0" collapsed="false">
      <c r="A29" s="13" t="s">
        <v>148</v>
      </c>
      <c r="B29" s="14"/>
      <c r="D29" s="15" t="n">
        <f aca="false">D27+D28</f>
        <v>-8263.77000000001</v>
      </c>
      <c r="E29" s="15" t="n">
        <f aca="false">E27+E28</f>
        <v>-5491.36999999999</v>
      </c>
      <c r="F29" s="15" t="n">
        <f aca="false">F27+F28</f>
        <v>-6606.86</v>
      </c>
      <c r="G29" s="15" t="n">
        <f aca="false">G27+G28</f>
        <v>-3843.9</v>
      </c>
    </row>
    <row r="30" customFormat="false" ht="15" hidden="false" customHeight="false" outlineLevel="0" collapsed="false">
      <c r="A30" s="11" t="s">
        <v>149</v>
      </c>
      <c r="B30" s="11"/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4" t="s">
        <v>150</v>
      </c>
      <c r="D31" s="16" t="n">
        <f aca="false">BS!D10-BS!C10</f>
        <v>3470.15</v>
      </c>
      <c r="E31" s="16" t="n">
        <f aca="false">BS!E10-BS!D10</f>
        <v>1591.77</v>
      </c>
      <c r="F31" s="16" t="n">
        <f aca="false">BS!F10-BS!E10</f>
        <v>10689.68</v>
      </c>
      <c r="G31" s="16" t="n">
        <f aca="false">BS!G10-BS!F10</f>
        <v>1025.5</v>
      </c>
    </row>
    <row r="32" customFormat="false" ht="15" hidden="false" customHeight="false" outlineLevel="0" collapsed="false">
      <c r="A32" s="4" t="s">
        <v>151</v>
      </c>
      <c r="D32" s="16" t="n">
        <f aca="false">BS!D16-BS!C16</f>
        <v>1379.7</v>
      </c>
      <c r="E32" s="16" t="n">
        <f aca="false">BS!E16-BS!D16</f>
        <v>4238.18</v>
      </c>
      <c r="F32" s="16" t="n">
        <f aca="false">BS!F16-BS!E16</f>
        <v>-7568.72</v>
      </c>
      <c r="G32" s="16" t="n">
        <f aca="false">BS!G16-BS!F16</f>
        <v>-1613.1</v>
      </c>
    </row>
    <row r="33" customFormat="false" ht="15" hidden="false" customHeight="false" outlineLevel="0" collapsed="false">
      <c r="A33" s="4" t="s">
        <v>152</v>
      </c>
      <c r="D33" s="16" t="n">
        <f aca="false">BS!D6-BS!C6</f>
        <v>0</v>
      </c>
      <c r="E33" s="16" t="n">
        <f aca="false">BS!E6-BS!D6</f>
        <v>0</v>
      </c>
      <c r="F33" s="16" t="n">
        <f aca="false">BS!F6-BS!E6</f>
        <v>0</v>
      </c>
      <c r="G33" s="16" t="n">
        <f aca="false">BS!G6-BS!F6</f>
        <v>0</v>
      </c>
    </row>
    <row r="34" customFormat="false" ht="15" hidden="false" customHeight="false" outlineLevel="0" collapsed="false">
      <c r="A34" s="4" t="s">
        <v>153</v>
      </c>
      <c r="D34" s="16" t="n">
        <f aca="false">-PL!D37</f>
        <v>-103.26</v>
      </c>
      <c r="E34" s="16" t="n">
        <f aca="false">-PL!E37</f>
        <v>-0</v>
      </c>
      <c r="F34" s="16" t="n">
        <f aca="false">-PL!F37</f>
        <v>-0</v>
      </c>
      <c r="G34" s="16" t="n">
        <f aca="false">-PL!G37</f>
        <v>-0</v>
      </c>
    </row>
    <row r="35" customFormat="false" ht="15" hidden="false" customHeight="false" outlineLevel="0" collapsed="false">
      <c r="A35" s="4" t="s">
        <v>154</v>
      </c>
      <c r="D35" s="16" t="n">
        <f aca="false">-PL!D38</f>
        <v>-21.02</v>
      </c>
      <c r="E35" s="16" t="n">
        <f aca="false">-PL!E38</f>
        <v>-0</v>
      </c>
      <c r="F35" s="16" t="n">
        <f aca="false">-PL!F38</f>
        <v>-0</v>
      </c>
      <c r="G35" s="16" t="n">
        <f aca="false">-PL!G38</f>
        <v>-0</v>
      </c>
    </row>
    <row r="36" customFormat="false" ht="15" hidden="false" customHeight="false" outlineLevel="0" collapsed="false">
      <c r="A36" s="4" t="s">
        <v>155</v>
      </c>
      <c r="D36" s="16" t="n">
        <f aca="false">-PL!D18</f>
        <v>-2300.45</v>
      </c>
      <c r="E36" s="16" t="n">
        <f aca="false">-PL!E18</f>
        <v>-2527.82</v>
      </c>
      <c r="F36" s="16" t="n">
        <f aca="false">-PL!F18</f>
        <v>-2822.75</v>
      </c>
      <c r="G36" s="16" t="n">
        <f aca="false">-PL!G18</f>
        <v>-3154.92</v>
      </c>
    </row>
    <row r="37" customFormat="false" ht="15" hidden="false" customHeight="false" outlineLevel="0" collapsed="false">
      <c r="A37" s="13" t="s">
        <v>156</v>
      </c>
      <c r="B37" s="14"/>
      <c r="D37" s="15" t="n">
        <f aca="false">D31+D32+D33+D34+D35+D36</f>
        <v>2425.12</v>
      </c>
      <c r="E37" s="15" t="n">
        <f aca="false">E31+E32+E33+E34+E35+E36</f>
        <v>3302.13</v>
      </c>
      <c r="F37" s="15" t="n">
        <f aca="false">F31+F32+F33+F34+F35+F36</f>
        <v>298.209999999999</v>
      </c>
      <c r="G37" s="15" t="n">
        <f aca="false">G31+G32+G33+G34+G35+G36</f>
        <v>-3742.52</v>
      </c>
    </row>
    <row r="39" customFormat="false" ht="15" hidden="false" customHeight="false" outlineLevel="0" collapsed="false">
      <c r="A39" s="13" t="s">
        <v>157</v>
      </c>
      <c r="B39" s="14"/>
      <c r="D39" s="15" t="n">
        <f aca="false">D25+D29+D37</f>
        <v>-2007.28000000001</v>
      </c>
      <c r="E39" s="15" t="n">
        <f aca="false">E25+E29+E37</f>
        <v>-8.86999999998989</v>
      </c>
      <c r="F39" s="15" t="n">
        <f aca="false">F25+F29+F37</f>
        <v>-35.029999999997</v>
      </c>
      <c r="G39" s="15" t="n">
        <f aca="false">G25+G29+G37</f>
        <v>-34.6399999999958</v>
      </c>
    </row>
    <row r="40" customFormat="false" ht="15" hidden="false" customHeight="false" outlineLevel="0" collapsed="false">
      <c r="A40" s="4" t="s">
        <v>158</v>
      </c>
      <c r="D40" s="21" t="n">
        <f aca="false">BS!C36</f>
        <v>2305.24</v>
      </c>
      <c r="E40" s="21" t="n">
        <f aca="false">BS!D36</f>
        <v>297.96</v>
      </c>
      <c r="F40" s="21" t="n">
        <f aca="false">BS!E36</f>
        <v>289.09</v>
      </c>
      <c r="G40" s="21" t="n">
        <f aca="false">BS!F36</f>
        <v>254.06</v>
      </c>
    </row>
    <row r="41" customFormat="false" ht="15" hidden="false" customHeight="false" outlineLevel="0" collapsed="false">
      <c r="A41" s="13" t="s">
        <v>159</v>
      </c>
      <c r="B41" s="14"/>
      <c r="D41" s="15" t="n">
        <f aca="false">D40+D39</f>
        <v>297.959999999986</v>
      </c>
      <c r="E41" s="15" t="n">
        <f aca="false">E40+E39</f>
        <v>289.09000000001</v>
      </c>
      <c r="F41" s="15" t="n">
        <f aca="false">F40+F39</f>
        <v>254.060000000003</v>
      </c>
      <c r="G41" s="15" t="n">
        <f aca="false">G40+G39</f>
        <v>219.420000000004</v>
      </c>
    </row>
    <row r="42" customFormat="false" ht="15" hidden="false" customHeight="false" outlineLevel="0" collapsed="false">
      <c r="A42" s="4" t="s">
        <v>160</v>
      </c>
      <c r="D42" s="21" t="n">
        <f aca="false">BS!D36</f>
        <v>297.96</v>
      </c>
      <c r="E42" s="21" t="n">
        <f aca="false">BS!E36</f>
        <v>289.09</v>
      </c>
      <c r="F42" s="21" t="n">
        <f aca="false">BS!F36</f>
        <v>254.06</v>
      </c>
      <c r="G42" s="21" t="n">
        <f aca="false">BS!G36</f>
        <v>219.42</v>
      </c>
    </row>
    <row r="43" customFormat="false" ht="15" hidden="false" customHeight="false" outlineLevel="0" collapsed="false">
      <c r="A43" s="4" t="s">
        <v>161</v>
      </c>
      <c r="D43" s="16" t="n">
        <f aca="false">ROUND(D41-D42,2)</f>
        <v>-0</v>
      </c>
      <c r="E43" s="16" t="n">
        <f aca="false">ROUND(E41-E42,2)</f>
        <v>0</v>
      </c>
      <c r="F43" s="16" t="n">
        <f aca="false">ROUND(F41-F42,2)</f>
        <v>0</v>
      </c>
      <c r="G43" s="16" t="n">
        <f aca="false">ROUND(G41-G42,2)</f>
        <v>0</v>
      </c>
    </row>
    <row r="45" customFormat="false" ht="15" hidden="false" customHeight="false" outlineLevel="0" collapsed="false">
      <c r="A45" s="3" t="s">
        <v>162</v>
      </c>
      <c r="D45" s="22" t="n">
        <f aca="false">D25+D27</f>
        <v>-4059.72000000001</v>
      </c>
      <c r="E45" s="22" t="n">
        <f aca="false">E25+E27</f>
        <v>-3207.26999999999</v>
      </c>
      <c r="F45" s="22" t="n">
        <f aca="false">F25+F27</f>
        <v>-237.419999999996</v>
      </c>
      <c r="G45" s="22" t="n">
        <f aca="false">G25+G27</f>
        <v>3801.33000000001</v>
      </c>
    </row>
    <row r="46" customFormat="false" ht="15" hidden="false" customHeight="false" outlineLevel="0" collapsed="false">
      <c r="A46" s="11" t="s">
        <v>163</v>
      </c>
      <c r="B46" s="11"/>
      <c r="C46" s="11"/>
      <c r="D46" s="11"/>
      <c r="E46" s="11"/>
      <c r="F46" s="11"/>
      <c r="G46" s="11"/>
    </row>
    <row r="47" customFormat="false" ht="15" hidden="false" customHeight="false" outlineLevel="0" collapsed="false">
      <c r="A47" s="4" t="s">
        <v>164</v>
      </c>
      <c r="C47" s="12" t="n">
        <v>2358.91</v>
      </c>
      <c r="D47" s="12" t="n">
        <v>-7007.5</v>
      </c>
      <c r="E47" s="12" t="n">
        <v>-4850.86</v>
      </c>
      <c r="F47" s="12" t="n">
        <v>-758.94</v>
      </c>
      <c r="G47" s="12" t="n">
        <v>3337.89</v>
      </c>
    </row>
    <row r="48" customFormat="false" ht="15" hidden="false" customHeight="false" outlineLevel="0" collapsed="false">
      <c r="A48" s="4" t="s">
        <v>165</v>
      </c>
      <c r="C48" s="12" t="n">
        <v>2744.12</v>
      </c>
      <c r="D48" s="12" t="n">
        <v>3799.71</v>
      </c>
      <c r="E48" s="12" t="n">
        <v>2125.03</v>
      </c>
      <c r="F48" s="12" t="n">
        <v>6157.81</v>
      </c>
      <c r="G48" s="12" t="n">
        <v>7301.57</v>
      </c>
    </row>
    <row r="49" customFormat="false" ht="15" hidden="false" customHeight="false" outlineLevel="0" collapsed="false">
      <c r="A49" s="4" t="s">
        <v>166</v>
      </c>
      <c r="C49" s="12" t="n">
        <v>-5160.5</v>
      </c>
      <c r="D49" s="12" t="n">
        <v>-4558.17</v>
      </c>
      <c r="E49" s="12" t="n">
        <v>-5438.67</v>
      </c>
      <c r="F49" s="12" t="n">
        <v>-6468.71</v>
      </c>
      <c r="G49" s="12" t="n">
        <v>-3755.66</v>
      </c>
    </row>
    <row r="50" customFormat="false" ht="15" hidden="false" customHeight="false" outlineLevel="0" collapsed="false">
      <c r="A50" s="4" t="s">
        <v>167</v>
      </c>
      <c r="C50" s="12" t="n">
        <v>2361.51</v>
      </c>
      <c r="D50" s="12" t="n">
        <v>742.73</v>
      </c>
      <c r="E50" s="12" t="n">
        <v>3302.13</v>
      </c>
      <c r="F50" s="12" t="n">
        <v>269.42</v>
      </c>
      <c r="G50" s="12" t="n">
        <v>-3590.77</v>
      </c>
    </row>
    <row r="51" customFormat="false" ht="15" hidden="false" customHeight="false" outlineLevel="0" collapsed="false">
      <c r="A51" s="4" t="s">
        <v>168</v>
      </c>
      <c r="C51" s="12" t="n">
        <v>-54.87</v>
      </c>
      <c r="D51" s="12" t="n">
        <v>-15.73</v>
      </c>
      <c r="E51" s="12" t="n">
        <v>-11.51</v>
      </c>
      <c r="F51" s="12" t="n">
        <v>-41.48</v>
      </c>
      <c r="G51" s="12" t="n">
        <v>-44.86</v>
      </c>
    </row>
    <row r="52" customFormat="false" ht="15" hidden="false" customHeight="false" outlineLevel="0" collapsed="false">
      <c r="A52" s="4" t="s">
        <v>158</v>
      </c>
      <c r="C52" s="12" t="n">
        <v>214.91</v>
      </c>
      <c r="D52" s="12" t="n">
        <v>148.17</v>
      </c>
      <c r="E52" s="12" t="n">
        <v>132.44</v>
      </c>
      <c r="F52" s="12" t="n">
        <v>120.93</v>
      </c>
      <c r="G52" s="12" t="n">
        <v>79.45</v>
      </c>
    </row>
    <row r="53" customFormat="false" ht="15" hidden="false" customHeight="false" outlineLevel="0" collapsed="false">
      <c r="A53" s="4" t="s">
        <v>159</v>
      </c>
      <c r="C53" s="12" t="n">
        <v>160.04</v>
      </c>
      <c r="D53" s="12" t="n">
        <v>132.44</v>
      </c>
      <c r="E53" s="12" t="n">
        <v>120.93</v>
      </c>
      <c r="F53" s="12" t="n">
        <v>79.45</v>
      </c>
      <c r="G53" s="12" t="n">
        <v>34.59</v>
      </c>
    </row>
    <row r="54" customFormat="false" ht="15" hidden="false" customHeight="false" outlineLevel="0" collapsed="false">
      <c r="A54" s="4" t="s">
        <v>169</v>
      </c>
      <c r="C54" s="16" t="n">
        <f aca="false">ROUND(C48+C49+C50-C51,2)</f>
        <v>0</v>
      </c>
      <c r="D54" s="16" t="n">
        <f aca="false">ROUND(D48+D49+D50-D51,2)</f>
        <v>0</v>
      </c>
      <c r="E54" s="16" t="n">
        <f aca="false">ROUND(E48+E49+E50-E51,2)</f>
        <v>0</v>
      </c>
      <c r="F54" s="16" t="n">
        <f aca="false">ROUND(F48+F49+F50-F51,2)</f>
        <v>0</v>
      </c>
      <c r="G54" s="16" t="n">
        <f aca="false">ROUND(G48+G49+G50-G51,2)</f>
        <v>0</v>
      </c>
    </row>
    <row r="55" customFormat="false" ht="15" hidden="false" customHeight="false" outlineLevel="0" collapsed="false">
      <c r="A55" s="4" t="s">
        <v>170</v>
      </c>
      <c r="B55" s="2"/>
      <c r="D55" s="16" t="n">
        <f aca="false">D25-D48</f>
        <v>31.6599999999989</v>
      </c>
      <c r="E55" s="16" t="n">
        <f aca="false">E25-E48</f>
        <v>55.3399999999974</v>
      </c>
      <c r="F55" s="16" t="n">
        <f aca="false">F25-F48</f>
        <v>115.809999999999</v>
      </c>
      <c r="G55" s="16" t="n">
        <f aca="false">G25-G48</f>
        <v>250.210000000001</v>
      </c>
      <c r="I55" s="2" t="s">
        <v>171</v>
      </c>
    </row>
    <row r="56" customFormat="false" ht="15" hidden="false" customHeight="false" outlineLevel="0" collapsed="false">
      <c r="A56" s="4" t="s">
        <v>172</v>
      </c>
      <c r="D56" s="16" t="n">
        <f aca="false">D29-D49</f>
        <v>-3705.60000000001</v>
      </c>
      <c r="E56" s="16" t="n">
        <f aca="false">E29-E49</f>
        <v>-52.699999999988</v>
      </c>
      <c r="F56" s="16" t="n">
        <f aca="false">F29-F49</f>
        <v>-138.149999999995</v>
      </c>
      <c r="G56" s="16" t="n">
        <f aca="false">G29-G49</f>
        <v>-88.2399999999961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3"/>
    <col collapsed="false" customWidth="true" hidden="false" outlineLevel="0" max="7" min="3" style="0" width="13"/>
  </cols>
  <sheetData>
    <row r="1" customFormat="false" ht="17.3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4" customFormat="false" ht="15" hidden="false" customHeight="false" outlineLevel="0" collapsed="false">
      <c r="A4" s="9" t="s">
        <v>41</v>
      </c>
      <c r="B4" s="9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</row>
    <row r="5" customFormat="false" ht="15" hidden="false" customHeight="false" outlineLevel="0" collapsed="false">
      <c r="A5" s="11" t="s">
        <v>175</v>
      </c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4" t="s">
        <v>176</v>
      </c>
      <c r="C6" s="23" t="n">
        <f aca="false">BS!C39/BS!C20</f>
        <v>0.826609160809571</v>
      </c>
      <c r="D6" s="23" t="n">
        <f aca="false">BS!D39/BS!D20</f>
        <v>0.625532507791158</v>
      </c>
      <c r="E6" s="23" t="n">
        <f aca="false">BS!E39/BS!E20</f>
        <v>0.551446202984561</v>
      </c>
      <c r="F6" s="23" t="n">
        <f aca="false">BS!F39/BS!F20</f>
        <v>0.682882344023103</v>
      </c>
      <c r="G6" s="23" t="n">
        <f aca="false">BS!G39/BS!G20</f>
        <v>0.775270172746124</v>
      </c>
    </row>
    <row r="7" customFormat="false" ht="15" hidden="false" customHeight="false" outlineLevel="0" collapsed="false">
      <c r="A7" s="4" t="s">
        <v>177</v>
      </c>
      <c r="C7" s="23" t="n">
        <f aca="false">(BS!C39-BS!C34)/BS!C20</f>
        <v>0.311866634084787</v>
      </c>
      <c r="D7" s="23" t="n">
        <f aca="false">(BS!D39-BS!D34)/BS!D20</f>
        <v>0.246068231308977</v>
      </c>
      <c r="E7" s="23" t="n">
        <f aca="false">(BS!E39-BS!E34)/BS!E20</f>
        <v>0.212286999445865</v>
      </c>
      <c r="F7" s="23" t="n">
        <f aca="false">(BS!F39-BS!F34)/BS!F20</f>
        <v>0.291268620848715</v>
      </c>
      <c r="G7" s="23" t="n">
        <f aca="false">(BS!G39-BS!G34)/BS!G20</f>
        <v>0.307890674094043</v>
      </c>
    </row>
    <row r="8" customFormat="false" ht="15" hidden="false" customHeight="false" outlineLevel="0" collapsed="false">
      <c r="A8" s="4" t="s">
        <v>178</v>
      </c>
      <c r="C8" s="23" t="n">
        <f aca="false">BS!C36/BS!C20</f>
        <v>0.0669023629021632</v>
      </c>
      <c r="D8" s="23" t="n">
        <f aca="false">BS!D36/BS!D20</f>
        <v>0.00770223405113316</v>
      </c>
      <c r="E8" s="23" t="n">
        <f aca="false">BS!E36/BS!E20</f>
        <v>0.00624055438590583</v>
      </c>
      <c r="F8" s="23" t="n">
        <f aca="false">BS!F36/BS!F20</f>
        <v>0.00585369854857952</v>
      </c>
      <c r="G8" s="23" t="n">
        <f aca="false">BS!G36/BS!G20</f>
        <v>0.00527484130040632</v>
      </c>
    </row>
    <row r="9" customFormat="false" ht="15" hidden="false" customHeight="false" outlineLevel="0" collapsed="false">
      <c r="A9" s="4" t="s">
        <v>179</v>
      </c>
      <c r="C9" s="16" t="n">
        <f aca="false">BS!C39-BS!C20</f>
        <v>-5974.49</v>
      </c>
      <c r="D9" s="16" t="n">
        <f aca="false">BS!D39-BS!D20</f>
        <v>-14486.23</v>
      </c>
      <c r="E9" s="16" t="n">
        <f aca="false">BS!E39-BS!E20</f>
        <v>-20778.99</v>
      </c>
      <c r="F9" s="16" t="n">
        <f aca="false">BS!F39-BS!F20</f>
        <v>-13763.42</v>
      </c>
      <c r="G9" s="16" t="n">
        <f aca="false">BS!G39-BS!G20</f>
        <v>-9348.19</v>
      </c>
    </row>
    <row r="10" customFormat="false" ht="15" hidden="false" customHeight="false" outlineLevel="0" collapsed="false">
      <c r="A10" s="11" t="s">
        <v>180</v>
      </c>
      <c r="B10" s="11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4" t="s">
        <v>181</v>
      </c>
      <c r="C11" s="16" t="n">
        <f aca="false">BS!C10+BS!C16</f>
        <v>28220.72</v>
      </c>
      <c r="D11" s="16" t="n">
        <f aca="false">BS!D10+BS!D16</f>
        <v>33070.57</v>
      </c>
      <c r="E11" s="16" t="n">
        <f aca="false">BS!E10+BS!E16</f>
        <v>38900.52</v>
      </c>
      <c r="F11" s="16" t="n">
        <f aca="false">BS!F10+BS!F16</f>
        <v>42021.48</v>
      </c>
      <c r="G11" s="16" t="n">
        <f aca="false">BS!G10+BS!G16</f>
        <v>41433.88</v>
      </c>
    </row>
    <row r="12" customFormat="false" ht="15" hidden="false" customHeight="false" outlineLevel="0" collapsed="false">
      <c r="A12" s="4" t="s">
        <v>182</v>
      </c>
      <c r="C12" s="23" t="n">
        <f aca="false">C11/BS!C8</f>
        <v>0.648680903569677</v>
      </c>
      <c r="D12" s="23" t="n">
        <f aca="false">D11/BS!D8</f>
        <v>0.84372523656811</v>
      </c>
      <c r="E12" s="23" t="n">
        <f aca="false">E11/BS!E8</f>
        <v>1.08029812497188</v>
      </c>
      <c r="F12" s="23" t="n">
        <f aca="false">F11/BS!F8</f>
        <v>1.17662172495854</v>
      </c>
      <c r="G12" s="23" t="n">
        <f aca="false">G11/BS!G8</f>
        <v>1.08603341880819</v>
      </c>
    </row>
    <row r="13" customFormat="false" ht="15" hidden="false" customHeight="false" outlineLevel="0" collapsed="false">
      <c r="A13" s="4" t="s">
        <v>183</v>
      </c>
      <c r="C13" s="23" t="n">
        <f aca="false">BS!C10/BS!C8</f>
        <v>0.322391240686656</v>
      </c>
      <c r="D13" s="23" t="n">
        <f aca="false">BS!D10/BS!D8</f>
        <v>0.446365818873913</v>
      </c>
      <c r="E13" s="23" t="n">
        <f aca="false">BS!E10/BS!E8</f>
        <v>0.530074375726553</v>
      </c>
      <c r="F13" s="23" t="n">
        <f aca="false">BS!F10/BS!F8</f>
        <v>0.833774854278488</v>
      </c>
      <c r="G13" s="23" t="n">
        <f aca="false">BS!G10/BS!G8</f>
        <v>0.807375948093355</v>
      </c>
    </row>
    <row r="14" customFormat="false" ht="15" hidden="false" customHeight="false" outlineLevel="0" collapsed="false">
      <c r="A14" s="4" t="s">
        <v>184</v>
      </c>
      <c r="C14" s="23" t="n">
        <f aca="false">(BS!C14+BS!C20)/BS!C8</f>
        <v>1.28312544046884</v>
      </c>
      <c r="D14" s="23" t="n">
        <f aca="false">(BS!D14+BS!D20)/BS!D8</f>
        <v>1.55996851711531</v>
      </c>
      <c r="E14" s="23" t="n">
        <f aca="false">(BS!E14+BS!E20)/BS!E8</f>
        <v>1.95868511980041</v>
      </c>
      <c r="F14" s="23" t="n">
        <f aca="false">(BS!F14+BS!F20)/BS!F8</f>
        <v>2.19736952265057</v>
      </c>
      <c r="G14" s="23" t="n">
        <f aca="false">(BS!G14+BS!G20)/BS!G8</f>
        <v>2.05197741534621</v>
      </c>
    </row>
    <row r="15" customFormat="false" ht="15" hidden="false" customHeight="false" outlineLevel="0" collapsed="false">
      <c r="A15" s="4" t="s">
        <v>185</v>
      </c>
      <c r="C15" s="24" t="n">
        <f aca="false">C11/(C11+BS!C8)</f>
        <v>0.393454489686374</v>
      </c>
      <c r="D15" s="24" t="n">
        <f aca="false">D11/(D11+BS!D8)</f>
        <v>0.457619833928515</v>
      </c>
      <c r="E15" s="24" t="n">
        <f aca="false">E11/(E11+BS!E8)</f>
        <v>0.519299667679354</v>
      </c>
      <c r="F15" s="24" t="n">
        <f aca="false">F11/(F11+BS!F8)</f>
        <v>0.540572443740058</v>
      </c>
      <c r="G15" s="24" t="n">
        <f aca="false">G11/(G11+BS!G8)</f>
        <v>0.520621294470283</v>
      </c>
    </row>
    <row r="16" customFormat="false" ht="15" hidden="false" customHeight="false" outlineLevel="0" collapsed="false">
      <c r="A16" s="4" t="s">
        <v>186</v>
      </c>
      <c r="C16" s="23" t="n">
        <f aca="false">(PL!C22+PL!C18)/PL!C18</f>
        <v>2.68277370154653</v>
      </c>
      <c r="D16" s="23" t="n">
        <f aca="false">(PL!D22+PL!D18)/PL!D18</f>
        <v>-2.04614314590624</v>
      </c>
      <c r="E16" s="23" t="n">
        <f aca="false">(PL!E22+PL!E18)/PL!E18</f>
        <v>-0.833247620479307</v>
      </c>
      <c r="F16" s="23" t="n">
        <f aca="false">(PL!F22+PL!F18)/PL!F18</f>
        <v>0.72177132229209</v>
      </c>
      <c r="G16" s="23" t="n">
        <f aca="false">(PL!G22+PL!G18)/PL!G18</f>
        <v>2.18142139895782</v>
      </c>
    </row>
    <row r="17" customFormat="false" ht="15" hidden="false" customHeight="false" outlineLevel="0" collapsed="false">
      <c r="A17" s="11" t="s">
        <v>187</v>
      </c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4" t="s">
        <v>188</v>
      </c>
      <c r="C18" s="16" t="n">
        <f aca="false">PL!C10-(PL!C21-PL!C18-PL!C19)</f>
        <v>4653.87000000001</v>
      </c>
      <c r="D18" s="16" t="n">
        <f aca="false">PL!D10-(PL!D21-PL!D18-PL!D19)</f>
        <v>-2899.37</v>
      </c>
      <c r="E18" s="16" t="n">
        <f aca="false">PL!E10-(PL!E21-PL!E18-PL!E19)</f>
        <v>38.0399999999936</v>
      </c>
      <c r="F18" s="16" t="n">
        <f aca="false">PL!F10-(PL!F21-PL!F18-PL!F19)</f>
        <v>4617.85</v>
      </c>
      <c r="G18" s="16" t="n">
        <f aca="false">PL!G10-(PL!G21-PL!G18-PL!G19)</f>
        <v>9734.10999999999</v>
      </c>
    </row>
    <row r="19" customFormat="false" ht="15" hidden="false" customHeight="false" outlineLevel="0" collapsed="false">
      <c r="A19" s="4" t="s">
        <v>189</v>
      </c>
      <c r="C19" s="24" t="n">
        <f aca="false">C18/PL!C10</f>
        <v>0.101811213897466</v>
      </c>
      <c r="D19" s="24" t="n">
        <f aca="false">D18/PL!D10</f>
        <v>-0.0742440568802322</v>
      </c>
      <c r="E19" s="24" t="n">
        <f aca="false">E18/PL!E10</f>
        <v>0.000855746628810307</v>
      </c>
      <c r="F19" s="24" t="n">
        <f aca="false">F18/PL!F10</f>
        <v>0.0802288664429173</v>
      </c>
      <c r="G19" s="24" t="n">
        <f aca="false">G18/PL!G10</f>
        <v>0.145356144662224</v>
      </c>
    </row>
    <row r="20" customFormat="false" ht="15" hidden="false" customHeight="false" outlineLevel="0" collapsed="false">
      <c r="A20" s="4" t="s">
        <v>190</v>
      </c>
      <c r="C20" s="16" t="n">
        <f aca="false">C18-PL!C19</f>
        <v>2880.59000000001</v>
      </c>
      <c r="D20" s="16" t="n">
        <f aca="false">D18-PL!D19</f>
        <v>-5301.72</v>
      </c>
      <c r="E20" s="16" t="n">
        <f aca="false">E18-PL!E19</f>
        <v>-2641.91000000001</v>
      </c>
      <c r="F20" s="16" t="n">
        <f aca="false">F18-PL!F19</f>
        <v>1552.93</v>
      </c>
      <c r="G20" s="16" t="n">
        <f aca="false">G18-PL!G19</f>
        <v>6349.38999999999</v>
      </c>
    </row>
    <row r="21" customFormat="false" ht="15" hidden="false" customHeight="false" outlineLevel="0" collapsed="false">
      <c r="A21" s="4" t="s">
        <v>191</v>
      </c>
      <c r="C21" s="24" t="n">
        <f aca="false">C20/PL!C10</f>
        <v>0.0630177389228539</v>
      </c>
      <c r="D21" s="24" t="n">
        <f aca="false">D20/PL!D10</f>
        <v>-0.135760941598714</v>
      </c>
      <c r="E21" s="24" t="n">
        <f aca="false">E20/PL!E10</f>
        <v>-0.0594323232418671</v>
      </c>
      <c r="F21" s="24" t="n">
        <f aca="false">F20/PL!F10</f>
        <v>0.0269800477636128</v>
      </c>
      <c r="G21" s="24" t="n">
        <f aca="false">G20/PL!G10</f>
        <v>0.0948132753129847</v>
      </c>
    </row>
    <row r="22" customFormat="false" ht="15" hidden="false" customHeight="false" outlineLevel="0" collapsed="false">
      <c r="A22" s="4" t="s">
        <v>192</v>
      </c>
      <c r="C22" s="24" t="n">
        <f aca="false">(PL!C10-PL!C14-PL!C15-PL!C16)/PL!C10</f>
        <v>0.625574973780802</v>
      </c>
      <c r="D22" s="24" t="n">
        <f aca="false">(PL!D10-PL!D14-PL!D15-PL!D16)/PL!D10</f>
        <v>0.54686330081932</v>
      </c>
      <c r="E22" s="24" t="n">
        <f aca="false">(PL!E10-PL!E14-PL!E15-PL!E16)/PL!E10</f>
        <v>0.522043236800884</v>
      </c>
      <c r="F22" s="24" t="n">
        <f aca="false">(PL!F10-PL!F14-PL!F15-PL!F16)/PL!F10</f>
        <v>0.516764347065575</v>
      </c>
      <c r="G22" s="24" t="n">
        <f aca="false">(PL!G10-PL!G14-PL!G15-PL!G16)/PL!G10</f>
        <v>0.558377214196001</v>
      </c>
    </row>
    <row r="23" customFormat="false" ht="15" hidden="false" customHeight="false" outlineLevel="0" collapsed="false">
      <c r="A23" s="4" t="s">
        <v>193</v>
      </c>
      <c r="C23" s="24" t="n">
        <f aca="false">PL!C33/PL!C10</f>
        <v>0.0457808858216816</v>
      </c>
      <c r="D23" s="24" t="n">
        <f aca="false">PL!D33/PL!D10</f>
        <v>-0.102976860525025</v>
      </c>
      <c r="E23" s="24" t="n">
        <f aca="false">PL!E33/PL!E10</f>
        <v>-0.0637364768299402</v>
      </c>
      <c r="F23" s="24" t="n">
        <f aca="false">PL!F33/PL!F10</f>
        <v>-0.008369056434102</v>
      </c>
      <c r="G23" s="24" t="n">
        <f aca="false">PL!G33/PL!G10</f>
        <v>0.0325355759399624</v>
      </c>
    </row>
    <row r="24" customFormat="false" ht="15" hidden="false" customHeight="false" outlineLevel="0" collapsed="false">
      <c r="A24" s="4" t="s">
        <v>194</v>
      </c>
      <c r="C24" s="24" t="n">
        <f aca="false">PL!C33/BS!C8</f>
        <v>0.0481023004828437</v>
      </c>
      <c r="D24" s="24" t="n">
        <f aca="false">PL!D33/BS!D8</f>
        <v>-0.102598486066145</v>
      </c>
      <c r="E24" s="24" t="n">
        <f aca="false">PL!E33/BS!E8</f>
        <v>-0.0786813096481831</v>
      </c>
      <c r="F24" s="24" t="n">
        <f aca="false">PL!F33/BS!F8</f>
        <v>-0.0134881125350602</v>
      </c>
      <c r="G24" s="24" t="n">
        <f aca="false">PL!G33/BS!G8</f>
        <v>0.0571095763555733</v>
      </c>
    </row>
    <row r="25" customFormat="false" ht="15" hidden="false" customHeight="false" outlineLevel="0" collapsed="false">
      <c r="A25" s="4" t="s">
        <v>195</v>
      </c>
      <c r="C25" s="24" t="n">
        <f aca="false">(PL!C22+PL!C18)/(BS!C40-BS!C20)</f>
        <v>0.0601412762029466</v>
      </c>
      <c r="D25" s="24" t="n">
        <f aca="false">(PL!D22+PL!D18)/(BS!D40-BS!D20)</f>
        <v>-0.076344501267448</v>
      </c>
      <c r="E25" s="24" t="n">
        <f aca="false">(PL!E22+PL!E18)/(BS!E40-BS!E20)</f>
        <v>-0.0349796213771107</v>
      </c>
      <c r="F25" s="24" t="n">
        <f aca="false">(PL!F22+PL!F18)/(BS!F40-BS!F20)</f>
        <v>0.0287813586957596</v>
      </c>
      <c r="G25" s="24" t="n">
        <f aca="false">(PL!G22+PL!G18)/(BS!G40-BS!G20)</f>
        <v>0.0919586473966489</v>
      </c>
    </row>
    <row r="26" customFormat="false" ht="15" hidden="false" customHeight="false" outlineLevel="0" collapsed="false">
      <c r="A26" s="4" t="s">
        <v>196</v>
      </c>
      <c r="C26" s="24" t="n">
        <f aca="false">PL!C33/BS!C40</f>
        <v>0.0210686191963968</v>
      </c>
      <c r="D26" s="24" t="n">
        <f aca="false">PL!D33/BS!D40</f>
        <v>-0.0400780264992311</v>
      </c>
      <c r="E26" s="24" t="n">
        <f aca="false">PL!E33/BS!E40</f>
        <v>-0.0265933367230004</v>
      </c>
      <c r="F26" s="24" t="n">
        <f aca="false">PL!F33/BS!F40</f>
        <v>-0.00421850287854084</v>
      </c>
      <c r="G26" s="24" t="n">
        <f aca="false">PL!G33/BS!G40</f>
        <v>0.0187123194517791</v>
      </c>
    </row>
    <row r="27" customFormat="false" ht="15" hidden="false" customHeight="false" outlineLevel="0" collapsed="false">
      <c r="A27" s="11" t="s">
        <v>197</v>
      </c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4" t="s">
        <v>198</v>
      </c>
      <c r="C28" s="20" t="n">
        <f aca="false">PL!C36</f>
        <v>5.06637162785407</v>
      </c>
      <c r="D28" s="20" t="n">
        <f aca="false">PL!D36</f>
        <v>-9.73589345677189</v>
      </c>
      <c r="E28" s="20" t="n">
        <f aca="false">PL!E36</f>
        <v>-6.85926503378502</v>
      </c>
      <c r="F28" s="20" t="n">
        <f aca="false">PL!F36</f>
        <v>-1.16621837875528</v>
      </c>
      <c r="G28" s="20" t="n">
        <f aca="false">PL!G36</f>
        <v>5.27491629403491</v>
      </c>
    </row>
    <row r="29" customFormat="false" ht="15" hidden="false" customHeight="false" outlineLevel="0" collapsed="false">
      <c r="A29" s="4" t="s">
        <v>199</v>
      </c>
      <c r="C29" s="20" t="n">
        <f aca="false">BS!C8/(BS!C6/Assumptions!$C$6)</f>
        <v>105.324934088362</v>
      </c>
      <c r="D29" s="20" t="n">
        <f aca="false">BS!D8/(BS!D6/Assumptions!$C$6)</f>
        <v>94.893149305295</v>
      </c>
      <c r="E29" s="20" t="n">
        <f aca="false">BS!E8/(BS!E6/Assumptions!$C$6)</f>
        <v>87.1778197955226</v>
      </c>
      <c r="F29" s="20" t="n">
        <f aca="false">BS!F8/(BS!F6/Assumptions!$C$6)</f>
        <v>86.4626815444991</v>
      </c>
      <c r="G29" s="20" t="n">
        <f aca="false">BS!G8/(BS!G6/Assumptions!$C$6)</f>
        <v>92.3648296949786</v>
      </c>
    </row>
    <row r="30" customFormat="false" ht="15" hidden="false" customHeight="false" outlineLevel="0" collapsed="false">
      <c r="A30" s="4" t="s">
        <v>200</v>
      </c>
      <c r="C30" s="20" t="n">
        <f aca="false">PL!C37/(BS!C6/Assumptions!$C$6)</f>
        <v>1.99998547401907</v>
      </c>
      <c r="D30" s="20" t="n">
        <f aca="false">PL!D37/(BS!D6/Assumptions!$C$6)</f>
        <v>0.249992131760331</v>
      </c>
      <c r="E30" s="20" t="n">
        <f aca="false">PL!E37/(BS!E6/Assumptions!$C$6)</f>
        <v>0</v>
      </c>
      <c r="F30" s="20" t="n">
        <f aca="false">PL!F37/(BS!F6/Assumptions!$C$6)</f>
        <v>0</v>
      </c>
      <c r="G30" s="20" t="n">
        <f aca="false">PL!G37/(BS!G6/Assumptions!$C$6)</f>
        <v>0</v>
      </c>
    </row>
    <row r="31" customFormat="false" ht="15" hidden="false" customHeight="false" outlineLevel="0" collapsed="false">
      <c r="A31" s="4" t="s">
        <v>201</v>
      </c>
      <c r="C31" s="24" t="n">
        <f aca="false">IF(PL!C33&gt;0,PL!C37/PL!C33,0)</f>
        <v>0.394756962364049</v>
      </c>
      <c r="D31" s="24" t="n">
        <f aca="false">IF(PL!D33&gt;0,PL!D37/PL!D33,0)</f>
        <v>0</v>
      </c>
      <c r="E31" s="24" t="n">
        <f aca="false">IF(PL!E33&gt;0,PL!E37/PL!E33,0)</f>
        <v>0</v>
      </c>
      <c r="F31" s="24" t="n">
        <f aca="false">IF(PL!F33&gt;0,PL!F37/PL!F33,0)</f>
        <v>0</v>
      </c>
      <c r="G31" s="24" t="n">
        <f aca="false">IF(PL!G33&gt;0,PL!G37/PL!G33,0)</f>
        <v>0</v>
      </c>
    </row>
    <row r="32" customFormat="false" ht="15" hidden="false" customHeight="false" outlineLevel="0" collapsed="false">
      <c r="A32" s="11" t="s">
        <v>202</v>
      </c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4" t="s">
        <v>203</v>
      </c>
      <c r="C33" s="23" t="n">
        <f aca="false">PL!C10/BS!C34</f>
        <v>2.57723423676885</v>
      </c>
      <c r="D33" s="23" t="n">
        <f aca="false">PL!D10/BS!D34</f>
        <v>2.6602949821963</v>
      </c>
      <c r="E33" s="23" t="n">
        <f aca="false">PL!E10/BS!E34</f>
        <v>2.82931829537245</v>
      </c>
      <c r="F33" s="23" t="n">
        <f aca="false">PL!F10/BS!F34</f>
        <v>3.38645511150125</v>
      </c>
      <c r="G33" s="23" t="n">
        <f aca="false">PL!G10/BS!G34</f>
        <v>3.44450153792344</v>
      </c>
    </row>
    <row r="34" customFormat="false" ht="15" hidden="false" customHeight="false" outlineLevel="0" collapsed="false">
      <c r="A34" s="4" t="s">
        <v>204</v>
      </c>
      <c r="C34" s="25" t="n">
        <f aca="false">365/C33</f>
        <v>141.624690062169</v>
      </c>
      <c r="D34" s="25" t="n">
        <f aca="false">365/D33</f>
        <v>137.202829927778</v>
      </c>
      <c r="E34" s="25" t="n">
        <f aca="false">365/E33</f>
        <v>129.006340713586</v>
      </c>
      <c r="F34" s="25" t="n">
        <f aca="false">365/F33</f>
        <v>107.782323397812</v>
      </c>
      <c r="G34" s="25" t="n">
        <f aca="false">365/G33</f>
        <v>105.965985493519</v>
      </c>
    </row>
    <row r="35" customFormat="false" ht="15" hidden="false" customHeight="false" outlineLevel="0" collapsed="false">
      <c r="A35" s="4" t="s">
        <v>205</v>
      </c>
      <c r="C35" s="23" t="n">
        <f aca="false">PL!C10/BS!C35</f>
        <v>14.3204197994988</v>
      </c>
      <c r="D35" s="23" t="n">
        <f aca="false">PL!D10/BS!D35</f>
        <v>12.4230966219075</v>
      </c>
      <c r="E35" s="23" t="n">
        <f aca="false">PL!E10/BS!E35</f>
        <v>15.2146223589772</v>
      </c>
      <c r="F35" s="23" t="n">
        <f aca="false">PL!F10/BS!F35</f>
        <v>14.8732176726254</v>
      </c>
      <c r="G35" s="23" t="n">
        <f aca="false">PL!G10/BS!G35</f>
        <v>14.8980122579282</v>
      </c>
    </row>
    <row r="36" customFormat="false" ht="15" hidden="false" customHeight="false" outlineLevel="0" collapsed="false">
      <c r="A36" s="4" t="s">
        <v>206</v>
      </c>
      <c r="C36" s="25" t="n">
        <f aca="false">365/C35</f>
        <v>25.4880796171056</v>
      </c>
      <c r="D36" s="25" t="n">
        <f aca="false">365/D35</f>
        <v>29.3807583655384</v>
      </c>
      <c r="E36" s="25" t="n">
        <f aca="false">365/E35</f>
        <v>23.9900795030011</v>
      </c>
      <c r="F36" s="25" t="n">
        <f aca="false">365/F35</f>
        <v>24.5407556074294</v>
      </c>
      <c r="G36" s="25" t="n">
        <f aca="false">365/G35</f>
        <v>24.4999127186085</v>
      </c>
    </row>
    <row r="37" customFormat="false" ht="15" hidden="false" customHeight="false" outlineLevel="0" collapsed="false">
      <c r="A37" s="4" t="s">
        <v>207</v>
      </c>
      <c r="C37" s="25" t="n">
        <f aca="false">BS!C17/PL!C10*365</f>
        <v>28.7968986746671</v>
      </c>
      <c r="D37" s="25" t="n">
        <f aca="false">BS!D17/PL!D10*365</f>
        <v>37.4114933775275</v>
      </c>
      <c r="E37" s="25" t="n">
        <f aca="false">BS!E17/PL!E10*365</f>
        <v>42.8549993127482</v>
      </c>
      <c r="F37" s="25" t="n">
        <f aca="false">BS!F17/PL!F10*365</f>
        <v>47.817167102803</v>
      </c>
      <c r="G37" s="25" t="n">
        <f aca="false">BS!G17/PL!G10*365</f>
        <v>39.559097565663</v>
      </c>
    </row>
    <row r="38" customFormat="false" ht="15" hidden="false" customHeight="false" outlineLevel="0" collapsed="false">
      <c r="A38" s="4" t="s">
        <v>208</v>
      </c>
      <c r="C38" s="25" t="n">
        <f aca="false">C34+C36-C37</f>
        <v>138.315871004608</v>
      </c>
      <c r="D38" s="25" t="n">
        <f aca="false">D34+D36-D37</f>
        <v>129.172094915789</v>
      </c>
      <c r="E38" s="25" t="n">
        <f aca="false">E34+E36-E37</f>
        <v>110.141420903839</v>
      </c>
      <c r="F38" s="25" t="n">
        <f aca="false">F34+F36-F37</f>
        <v>84.505911902438</v>
      </c>
      <c r="G38" s="25" t="n">
        <f aca="false">G34+G36-G37</f>
        <v>90.9068006464647</v>
      </c>
    </row>
    <row r="39" customFormat="false" ht="15" hidden="false" customHeight="false" outlineLevel="0" collapsed="false">
      <c r="A39" s="4" t="s">
        <v>209</v>
      </c>
      <c r="C39" s="23" t="n">
        <f aca="false">PL!C10/BS!C28</f>
        <v>0.699321940082703</v>
      </c>
      <c r="D39" s="23" t="n">
        <f aca="false">PL!D10/BS!D28</f>
        <v>0.551166306320522</v>
      </c>
      <c r="E39" s="23" t="n">
        <f aca="false">PL!E10/BS!E28</f>
        <v>0.604294321735771</v>
      </c>
      <c r="F39" s="23" t="n">
        <f aca="false">PL!F10/BS!F28</f>
        <v>0.747444712154665</v>
      </c>
      <c r="G39" s="23" t="n">
        <f aca="false">PL!G10/BS!G28</f>
        <v>0.865515890551074</v>
      </c>
    </row>
    <row r="40" customFormat="false" ht="15" hidden="false" customHeight="false" outlineLevel="0" collapsed="false">
      <c r="A40" s="4" t="s">
        <v>210</v>
      </c>
      <c r="C40" s="23" t="n">
        <f aca="false">PL!C10/BS!C40</f>
        <v>0.460205581832993</v>
      </c>
      <c r="D40" s="23" t="n">
        <f aca="false">PL!D10/BS!D40</f>
        <v>0.389194487915968</v>
      </c>
      <c r="E40" s="23" t="n">
        <f aca="false">PL!E10/BS!E40</f>
        <v>0.417238888085326</v>
      </c>
      <c r="F40" s="23" t="n">
        <f aca="false">PL!F10/BS!F40</f>
        <v>0.504059556983198</v>
      </c>
      <c r="G40" s="23" t="n">
        <f aca="false">PL!G10/BS!G40</f>
        <v>0.575134108162363</v>
      </c>
    </row>
    <row r="41" customFormat="false" ht="15" hidden="false" customHeight="false" outlineLevel="0" collapsed="false">
      <c r="A41" s="11" t="s">
        <v>211</v>
      </c>
      <c r="B41" s="11"/>
      <c r="C41" s="11"/>
      <c r="D41" s="11"/>
      <c r="E41" s="11"/>
      <c r="F41" s="11"/>
      <c r="G41" s="11"/>
    </row>
    <row r="42" customFormat="false" ht="15" hidden="false" customHeight="false" outlineLevel="0" collapsed="false">
      <c r="A42" s="4" t="s">
        <v>212</v>
      </c>
      <c r="C42" s="24" t="n">
        <f aca="false">C23</f>
        <v>0.0457808858216816</v>
      </c>
      <c r="D42" s="24" t="n">
        <f aca="false">D23</f>
        <v>-0.102976860525025</v>
      </c>
      <c r="E42" s="24" t="n">
        <f aca="false">E23</f>
        <v>-0.0637364768299402</v>
      </c>
      <c r="F42" s="24" t="n">
        <f aca="false">F23</f>
        <v>-0.008369056434102</v>
      </c>
      <c r="G42" s="24" t="n">
        <f aca="false">G23</f>
        <v>0.0325355759399624</v>
      </c>
    </row>
    <row r="43" customFormat="false" ht="15" hidden="false" customHeight="false" outlineLevel="0" collapsed="false">
      <c r="A43" s="4" t="s">
        <v>213</v>
      </c>
      <c r="C43" s="23" t="n">
        <f aca="false">C40</f>
        <v>0.460205581832993</v>
      </c>
      <c r="D43" s="23" t="n">
        <f aca="false">D40</f>
        <v>0.389194487915968</v>
      </c>
      <c r="E43" s="23" t="n">
        <f aca="false">E40</f>
        <v>0.417238888085326</v>
      </c>
      <c r="F43" s="23" t="n">
        <f aca="false">F40</f>
        <v>0.504059556983198</v>
      </c>
      <c r="G43" s="23" t="n">
        <f aca="false">G40</f>
        <v>0.575134108162363</v>
      </c>
    </row>
    <row r="44" customFormat="false" ht="15" hidden="false" customHeight="false" outlineLevel="0" collapsed="false">
      <c r="A44" s="4" t="s">
        <v>214</v>
      </c>
      <c r="C44" s="23" t="n">
        <f aca="false">BS!C40/BS!C8</f>
        <v>2.28312544046884</v>
      </c>
      <c r="D44" s="23" t="n">
        <f aca="false">BS!D40/BS!D8</f>
        <v>2.55996851711531</v>
      </c>
      <c r="E44" s="23" t="n">
        <f aca="false">BS!E40/BS!E8</f>
        <v>2.95868511980041</v>
      </c>
      <c r="F44" s="23" t="n">
        <f aca="false">BS!F40/BS!F8</f>
        <v>3.19736952265057</v>
      </c>
      <c r="G44" s="23" t="n">
        <f aca="false">BS!G40/BS!G8</f>
        <v>3.05197741534621</v>
      </c>
    </row>
    <row r="45" customFormat="false" ht="15" hidden="false" customHeight="false" outlineLevel="0" collapsed="false">
      <c r="A45" s="3" t="s">
        <v>215</v>
      </c>
      <c r="C45" s="26" t="n">
        <f aca="false">C42*C43*C44</f>
        <v>0.0481023004828437</v>
      </c>
      <c r="D45" s="26" t="n">
        <f aca="false">D42*D43*D44</f>
        <v>-0.102598486066145</v>
      </c>
      <c r="E45" s="26" t="n">
        <f aca="false">E42*E43*E44</f>
        <v>-0.0786813096481831</v>
      </c>
      <c r="F45" s="26" t="n">
        <f aca="false">F42*F43*F44</f>
        <v>-0.0134881125350602</v>
      </c>
      <c r="G45" s="26" t="n">
        <f aca="false">G42*G43*G44</f>
        <v>0.0571095763555733</v>
      </c>
    </row>
    <row r="46" customFormat="false" ht="15" hidden="false" customHeight="false" outlineLevel="0" collapsed="false">
      <c r="A46" s="11" t="s">
        <v>216</v>
      </c>
      <c r="B46" s="11"/>
      <c r="C46" s="11"/>
      <c r="D46" s="11"/>
      <c r="E46" s="11"/>
      <c r="F46" s="11"/>
      <c r="G46" s="11"/>
    </row>
    <row r="47" customFormat="false" ht="15" hidden="false" customHeight="false" outlineLevel="0" collapsed="false">
      <c r="A47" s="4" t="s">
        <v>217</v>
      </c>
      <c r="D47" s="24" t="n">
        <f aca="false">CashFlow!D25/D11</f>
        <v>0.115854368400666</v>
      </c>
      <c r="E47" s="24" t="n">
        <f aca="false">CashFlow!E25/E11</f>
        <v>0.0560498934204478</v>
      </c>
      <c r="F47" s="24" t="n">
        <f aca="false">CashFlow!F25/F11</f>
        <v>0.149295550751663</v>
      </c>
      <c r="G47" s="24" t="n">
        <f aca="false">CashFlow!G25/G11</f>
        <v>0.182260990281383</v>
      </c>
    </row>
    <row r="48" customFormat="false" ht="15" hidden="false" customHeight="false" outlineLevel="0" collapsed="false">
      <c r="A48" s="4" t="s">
        <v>218</v>
      </c>
      <c r="D48" s="16" t="n">
        <f aca="false">CashFlow!D45</f>
        <v>-4059.72000000001</v>
      </c>
      <c r="E48" s="16" t="n">
        <f aca="false">CashFlow!E45</f>
        <v>-3207.26999999999</v>
      </c>
      <c r="F48" s="16" t="n">
        <f aca="false">CashFlow!F45</f>
        <v>-237.419999999996</v>
      </c>
      <c r="G48" s="16" t="n">
        <f aca="false">CashFlow!G45</f>
        <v>3801.33000000001</v>
      </c>
    </row>
    <row r="49" customFormat="false" ht="15" hidden="false" customHeight="false" outlineLevel="0" collapsed="false">
      <c r="A49" s="4" t="s">
        <v>219</v>
      </c>
      <c r="D49" s="23" t="str">
        <f aca="false">IF(PL!D33&gt;0,CashFlow!D25/PL!D33,"n.m.")</f>
        <v>n.m.</v>
      </c>
      <c r="E49" s="23" t="str">
        <f aca="false">IF(PL!E33&gt;0,CashFlow!E25/PL!E33,"n.m.")</f>
        <v>n.m.</v>
      </c>
      <c r="F49" s="23" t="str">
        <f aca="false">IF(PL!F33&gt;0,CashFlow!F25/PL!F33,"n.m.")</f>
        <v>n.m.</v>
      </c>
      <c r="G49" s="23" t="n">
        <f aca="false">IF(PL!G33&gt;0,CashFlow!G25/PL!G33,"n.m.")</f>
        <v>3.46599535528405</v>
      </c>
    </row>
    <row r="50" customFormat="false" ht="15" hidden="false" customHeight="false" outlineLevel="0" collapsed="false">
      <c r="A50" s="4" t="s">
        <v>220</v>
      </c>
      <c r="D50" s="23" t="n">
        <f aca="false">(CashFlow!D25+PL!D18)/PL!D18</f>
        <v>2.66548718728944</v>
      </c>
      <c r="E50" s="23" t="n">
        <f aca="false">(CashFlow!E25+PL!E18)/PL!E18</f>
        <v>1.86254954862292</v>
      </c>
      <c r="F50" s="23" t="n">
        <f aca="false">(CashFlow!F25+PL!F18)/PL!F18</f>
        <v>3.22252059162165</v>
      </c>
      <c r="G50" s="23" t="n">
        <f aca="false">(CashFlow!G25+PL!G18)/PL!G18</f>
        <v>3.39365182001445</v>
      </c>
    </row>
    <row r="51" customFormat="false" ht="15" hidden="false" customHeight="false" outlineLevel="0" collapsed="false">
      <c r="A51" s="11" t="s">
        <v>221</v>
      </c>
      <c r="B51" s="11"/>
      <c r="C51" s="11"/>
      <c r="D51" s="11"/>
      <c r="E51" s="11"/>
      <c r="F51" s="11"/>
      <c r="G51" s="11"/>
    </row>
    <row r="52" customFormat="false" ht="15" hidden="false" customHeight="false" outlineLevel="0" collapsed="false">
      <c r="A52" s="4" t="s">
        <v>222</v>
      </c>
      <c r="C52" s="27" t="n">
        <v>0.68</v>
      </c>
      <c r="D52" s="27" t="n">
        <v>0.61</v>
      </c>
      <c r="E52" s="27" t="n">
        <v>0.6</v>
      </c>
      <c r="F52" s="27" t="n">
        <v>0.7</v>
      </c>
      <c r="G52" s="27" t="n">
        <v>0.64</v>
      </c>
    </row>
    <row r="53" customFormat="false" ht="15" hidden="false" customHeight="false" outlineLevel="0" collapsed="false">
      <c r="A53" s="4" t="s">
        <v>223</v>
      </c>
      <c r="C53" s="27" t="n">
        <v>0.55</v>
      </c>
      <c r="D53" s="27" t="n">
        <v>0.42</v>
      </c>
      <c r="E53" s="27" t="n">
        <v>0.38</v>
      </c>
      <c r="F53" s="27" t="n">
        <v>0.4</v>
      </c>
      <c r="G53" s="27" t="n">
        <v>0.41</v>
      </c>
    </row>
    <row r="54" customFormat="false" ht="15" hidden="false" customHeight="false" outlineLevel="0" collapsed="false">
      <c r="A54" s="4" t="s">
        <v>224</v>
      </c>
      <c r="C54" s="27" t="n">
        <v>0.65</v>
      </c>
      <c r="D54" s="27" t="n">
        <v>0.84</v>
      </c>
      <c r="E54" s="27" t="n">
        <v>1.08</v>
      </c>
      <c r="F54" s="27" t="n">
        <v>1.18</v>
      </c>
      <c r="G54" s="27" t="n">
        <v>1.09</v>
      </c>
    </row>
    <row r="55" customFormat="false" ht="15" hidden="false" customHeight="false" outlineLevel="0" collapsed="false">
      <c r="A55" s="4" t="s">
        <v>225</v>
      </c>
      <c r="C55" s="27" t="n">
        <v>2.68</v>
      </c>
      <c r="D55" s="27" t="n">
        <v>-2.05</v>
      </c>
      <c r="E55" s="27" t="n">
        <v>-0.83</v>
      </c>
      <c r="F55" s="27" t="n">
        <v>0.72</v>
      </c>
      <c r="G55" s="27" t="n">
        <v>2.18</v>
      </c>
    </row>
    <row r="56" customFormat="false" ht="15" hidden="false" customHeight="false" outlineLevel="0" collapsed="false">
      <c r="A56" s="4" t="s">
        <v>226</v>
      </c>
      <c r="C56" s="28" t="n">
        <v>0.1018</v>
      </c>
      <c r="D56" s="28" t="n">
        <v>-0.0742</v>
      </c>
      <c r="E56" s="28" t="n">
        <v>0.0008</v>
      </c>
      <c r="F56" s="28" t="n">
        <v>0.0802</v>
      </c>
      <c r="G56" s="28" t="n">
        <v>0.1453</v>
      </c>
    </row>
    <row r="57" customFormat="false" ht="15" hidden="false" customHeight="false" outlineLevel="0" collapsed="false">
      <c r="A57" s="4" t="s">
        <v>212</v>
      </c>
      <c r="C57" s="28" t="n">
        <v>0.0457</v>
      </c>
      <c r="D57" s="28" t="n">
        <v>-0.1029</v>
      </c>
      <c r="E57" s="28" t="n">
        <v>-0.0637</v>
      </c>
      <c r="F57" s="28" t="n">
        <v>-0.0083</v>
      </c>
      <c r="G57" s="28" t="n">
        <v>0.0325</v>
      </c>
    </row>
    <row r="58" customFormat="false" ht="15" hidden="false" customHeight="false" outlineLevel="0" collapsed="false">
      <c r="A58" s="4" t="s">
        <v>227</v>
      </c>
      <c r="C58" s="28" t="n">
        <v>0.0481</v>
      </c>
      <c r="D58" s="28" t="n">
        <v>-0.1025</v>
      </c>
      <c r="E58" s="28" t="n">
        <v>-0.0786</v>
      </c>
      <c r="F58" s="28" t="n">
        <v>-0.0134</v>
      </c>
      <c r="G58" s="28" t="n">
        <v>0.0571</v>
      </c>
    </row>
    <row r="59" customFormat="false" ht="15" hidden="false" customHeight="false" outlineLevel="0" collapsed="false">
      <c r="A59" s="4" t="s">
        <v>228</v>
      </c>
      <c r="C59" s="27" t="n">
        <v>2.88</v>
      </c>
      <c r="D59" s="27" t="n">
        <v>2.99</v>
      </c>
      <c r="E59" s="27" t="n">
        <v>3.17</v>
      </c>
      <c r="F59" s="27" t="n">
        <v>3.47</v>
      </c>
      <c r="G59" s="27" t="n">
        <v>3.44</v>
      </c>
    </row>
    <row r="60" customFormat="false" ht="15" hidden="false" customHeight="false" outlineLevel="0" collapsed="false">
      <c r="A60" s="4" t="s">
        <v>229</v>
      </c>
      <c r="C60" s="27" t="n">
        <v>10.54</v>
      </c>
      <c r="D60" s="27" t="n">
        <v>12.33</v>
      </c>
      <c r="E60" s="27" t="n">
        <v>14.66</v>
      </c>
      <c r="F60" s="27" t="n">
        <v>16.95</v>
      </c>
      <c r="G60" s="27" t="n">
        <v>16.01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3"/>
    <col collapsed="false" customWidth="true" hidden="false" outlineLevel="0" max="12" min="3" style="0" width="13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3" customFormat="false" ht="15" hidden="false" customHeight="false" outlineLevel="0" collapsed="false">
      <c r="C3" s="29" t="s">
        <v>232</v>
      </c>
      <c r="H3" s="29" t="s">
        <v>233</v>
      </c>
    </row>
    <row r="4" customFormat="false" ht="15" hidden="false" customHeight="false" outlineLevel="0" collapsed="false">
      <c r="A4" s="9" t="s">
        <v>41</v>
      </c>
      <c r="B4" s="9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30" t="s">
        <v>234</v>
      </c>
      <c r="I4" s="30" t="s">
        <v>235</v>
      </c>
      <c r="J4" s="30" t="s">
        <v>236</v>
      </c>
      <c r="K4" s="30" t="s">
        <v>237</v>
      </c>
      <c r="L4" s="30" t="s">
        <v>238</v>
      </c>
    </row>
    <row r="5" customFormat="false" ht="15" hidden="false" customHeight="false" outlineLevel="0" collapsed="false">
      <c r="A5" s="11" t="s">
        <v>239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15" hidden="false" customHeight="false" outlineLevel="0" collapsed="false">
      <c r="A6" s="4" t="s">
        <v>240</v>
      </c>
      <c r="C6" s="31" t="n">
        <v>10</v>
      </c>
    </row>
    <row r="7" customFormat="false" ht="15" hidden="false" customHeight="false" outlineLevel="0" collapsed="false">
      <c r="A7" s="11" t="s">
        <v>241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15" hidden="false" customHeight="false" outlineLevel="0" collapsed="false">
      <c r="A8" s="4" t="s">
        <v>242</v>
      </c>
      <c r="D8" s="24" t="n">
        <f aca="false">PL!D10/PL!C10-1</f>
        <v>-0.145674608921572</v>
      </c>
      <c r="E8" s="24" t="n">
        <f aca="false">PL!E10/PL!D10-1</f>
        <v>0.138291165495746</v>
      </c>
      <c r="F8" s="24" t="n">
        <f aca="false">PL!F10/PL!E10-1</f>
        <v>0.294833283504764</v>
      </c>
      <c r="G8" s="24" t="n">
        <f aca="false">PL!G10/PL!F10-1</f>
        <v>0.163465978763157</v>
      </c>
      <c r="H8" s="32" t="n">
        <v>0.05</v>
      </c>
      <c r="I8" s="32" t="n">
        <v>0.07</v>
      </c>
      <c r="J8" s="32" t="n">
        <v>0.07</v>
      </c>
      <c r="K8" s="32" t="n">
        <v>0.06</v>
      </c>
      <c r="L8" s="32" t="n">
        <v>0.06</v>
      </c>
    </row>
    <row r="9" customFormat="false" ht="15" hidden="false" customHeight="false" outlineLevel="0" collapsed="false">
      <c r="A9" s="4" t="s">
        <v>243</v>
      </c>
      <c r="C9" s="24" t="n">
        <f aca="false">(PL!C14+PL!C15+PL!C16)/PL!C10</f>
        <v>0.374425026219198</v>
      </c>
      <c r="D9" s="24" t="n">
        <f aca="false">(PL!D14+PL!D15+PL!D16)/PL!D10</f>
        <v>0.45313669918068</v>
      </c>
      <c r="E9" s="24" t="n">
        <f aca="false">(PL!E14+PL!E15+PL!E16)/PL!E10</f>
        <v>0.477956763199116</v>
      </c>
      <c r="F9" s="24" t="n">
        <f aca="false">(PL!F14+PL!F15+PL!F16)/PL!F10</f>
        <v>0.483235652934425</v>
      </c>
      <c r="G9" s="24" t="n">
        <f aca="false">(PL!G14+PL!G15+PL!G16)/PL!G10</f>
        <v>0.441622785803999</v>
      </c>
      <c r="H9" s="32" t="n">
        <v>0.46</v>
      </c>
      <c r="I9" s="32" t="n">
        <v>0.46</v>
      </c>
      <c r="J9" s="32" t="n">
        <v>0.46</v>
      </c>
      <c r="K9" s="32" t="n">
        <v>0.46</v>
      </c>
      <c r="L9" s="32" t="n">
        <v>0.46</v>
      </c>
    </row>
    <row r="10" customFormat="false" ht="15" hidden="false" customHeight="false" outlineLevel="0" collapsed="false">
      <c r="A10" s="4" t="s">
        <v>244</v>
      </c>
      <c r="C10" s="24" t="n">
        <f aca="false">PL!C17/PL!C10</f>
        <v>0.212998553076539</v>
      </c>
      <c r="D10" s="24" t="n">
        <f aca="false">PL!D17/PL!D10</f>
        <v>0.248770865832836</v>
      </c>
      <c r="E10" s="24" t="n">
        <f aca="false">PL!E17/PL!E10</f>
        <v>0.201290098782046</v>
      </c>
      <c r="F10" s="24" t="n">
        <f aca="false">PL!F17/PL!F10</f>
        <v>0.153757935844705</v>
      </c>
      <c r="G10" s="24" t="n">
        <f aca="false">PL!G17/PL!G10</f>
        <v>0.131860455496869</v>
      </c>
      <c r="H10" s="32" t="n">
        <v>0.13</v>
      </c>
      <c r="I10" s="32" t="n">
        <v>0.128</v>
      </c>
      <c r="J10" s="32" t="n">
        <v>0.126</v>
      </c>
      <c r="K10" s="32" t="n">
        <v>0.124</v>
      </c>
      <c r="L10" s="32" t="n">
        <v>0.122</v>
      </c>
    </row>
    <row r="11" customFormat="false" ht="15" hidden="false" customHeight="false" outlineLevel="0" collapsed="false">
      <c r="A11" s="4" t="s">
        <v>245</v>
      </c>
      <c r="C11" s="24" t="n">
        <f aca="false">PL!C20/PL!C10</f>
        <v>0.310765206806797</v>
      </c>
      <c r="D11" s="24" t="n">
        <f aca="false">PL!D20/PL!D10</f>
        <v>0.372336491866717</v>
      </c>
      <c r="E11" s="24" t="n">
        <f aca="false">PL!E20/PL!E10</f>
        <v>0.319897391390028</v>
      </c>
      <c r="F11" s="24" t="n">
        <f aca="false">PL!F20/PL!F10</f>
        <v>0.282777544777953</v>
      </c>
      <c r="G11" s="24" t="n">
        <f aca="false">PL!G20/PL!G10</f>
        <v>0.281160614036908</v>
      </c>
      <c r="H11" s="32" t="n">
        <v>0.28</v>
      </c>
      <c r="I11" s="32" t="n">
        <v>0.28</v>
      </c>
      <c r="J11" s="32" t="n">
        <v>0.28</v>
      </c>
      <c r="K11" s="32" t="n">
        <v>0.28</v>
      </c>
      <c r="L11" s="32" t="n">
        <v>0.28</v>
      </c>
    </row>
    <row r="12" customFormat="false" ht="15" hidden="false" customHeight="false" outlineLevel="0" collapsed="false">
      <c r="A12" s="4" t="s">
        <v>246</v>
      </c>
      <c r="C12" s="24" t="n">
        <f aca="false">PL!C11/PL!C10</f>
        <v>0.0223312750296538</v>
      </c>
      <c r="D12" s="24" t="n">
        <f aca="false">PL!D11/PL!D10</f>
        <v>0.0152276919830748</v>
      </c>
      <c r="E12" s="24" t="n">
        <f aca="false">PL!E11/PL!E10</f>
        <v>0.0120490655062346</v>
      </c>
      <c r="F12" s="24" t="n">
        <f aca="false">PL!F11/PL!F10</f>
        <v>0.00841666020946356</v>
      </c>
      <c r="G12" s="24" t="n">
        <f aca="false">PL!G11/PL!G10</f>
        <v>0.00795641933355245</v>
      </c>
      <c r="H12" s="32" t="n">
        <v>0.008</v>
      </c>
      <c r="I12" s="32" t="n">
        <v>0.008</v>
      </c>
      <c r="J12" s="32" t="n">
        <v>0.008</v>
      </c>
      <c r="K12" s="32" t="n">
        <v>0.008</v>
      </c>
      <c r="L12" s="32" t="n">
        <v>0.008</v>
      </c>
    </row>
    <row r="13" customFormat="false" ht="15" hidden="false" customHeight="false" outlineLevel="0" collapsed="false">
      <c r="A13" s="4" t="s">
        <v>247</v>
      </c>
      <c r="D13" s="24" t="n">
        <f aca="false">PL!D19/BS!C28</f>
        <v>0.0367531698815395</v>
      </c>
      <c r="E13" s="24" t="n">
        <f aca="false">PL!E19/BS!D28</f>
        <v>0.0378239957365351</v>
      </c>
      <c r="F13" s="24" t="n">
        <f aca="false">PL!F19/BS!E28</f>
        <v>0.0416650920068091</v>
      </c>
      <c r="G13" s="24" t="n">
        <f aca="false">PL!G19/BS!F28</f>
        <v>0.0439534182485796</v>
      </c>
      <c r="H13" s="32" t="n">
        <v>0.044</v>
      </c>
      <c r="I13" s="32" t="n">
        <v>0.044</v>
      </c>
      <c r="J13" s="32" t="n">
        <v>0.044</v>
      </c>
      <c r="K13" s="32" t="n">
        <v>0.044</v>
      </c>
      <c r="L13" s="32" t="n">
        <v>0.044</v>
      </c>
    </row>
    <row r="14" customFormat="false" ht="15" hidden="false" customHeight="false" outlineLevel="0" collapsed="false">
      <c r="A14" s="4" t="s">
        <v>248</v>
      </c>
      <c r="D14" s="24" t="n">
        <f aca="false">PL!D18/(BS!C10+BS!C16)</f>
        <v>0.081516346854368</v>
      </c>
      <c r="E14" s="24" t="n">
        <f aca="false">PL!E18/(BS!D10+BS!D16)</f>
        <v>0.0764371463812084</v>
      </c>
      <c r="F14" s="24" t="n">
        <f aca="false">PL!F18/(BS!E10+BS!E16)</f>
        <v>0.0725632973543798</v>
      </c>
      <c r="G14" s="24" t="n">
        <f aca="false">PL!G18/(BS!F10+BS!F16)</f>
        <v>0.075078745441617</v>
      </c>
      <c r="H14" s="32" t="n">
        <v>0.075</v>
      </c>
      <c r="I14" s="32" t="n">
        <v>0.075</v>
      </c>
      <c r="J14" s="32" t="n">
        <v>0.075</v>
      </c>
      <c r="K14" s="32" t="n">
        <v>0.075</v>
      </c>
      <c r="L14" s="32" t="n">
        <v>0.075</v>
      </c>
    </row>
    <row r="15" customFormat="false" ht="15" hidden="false" customHeight="false" outlineLevel="0" collapsed="false">
      <c r="A15" s="4" t="s">
        <v>249</v>
      </c>
      <c r="B15" s="2"/>
      <c r="C15" s="24" t="n">
        <f aca="false">IF(PL!C24&gt;0,PL!C30/PL!C24,"n.m.")</f>
        <v>0.108792304486053</v>
      </c>
      <c r="D15" s="24" t="str">
        <f aca="false">IF(PL!D24&gt;0,PL!D30/PL!D24,"n.m.")</f>
        <v>n.m.</v>
      </c>
      <c r="E15" s="24" t="str">
        <f aca="false">IF(PL!E24&gt;0,PL!E30/PL!E24,"n.m.")</f>
        <v>n.m.</v>
      </c>
      <c r="F15" s="24" t="str">
        <f aca="false">IF(PL!F24&gt;0,PL!F30/PL!F24,"n.m.")</f>
        <v>n.m.</v>
      </c>
      <c r="G15" s="24" t="n">
        <f aca="false">IF(PL!G24&gt;0,PL!G30/PL!G24,"n.m.")</f>
        <v>0.347246314288368</v>
      </c>
      <c r="H15" s="32" t="n">
        <v>0.2517</v>
      </c>
      <c r="I15" s="32" t="n">
        <v>0.2517</v>
      </c>
      <c r="J15" s="32" t="n">
        <v>0.2517</v>
      </c>
      <c r="K15" s="32" t="n">
        <v>0.2517</v>
      </c>
      <c r="L15" s="32" t="n">
        <v>0.2517</v>
      </c>
      <c r="N15" s="2" t="s">
        <v>250</v>
      </c>
    </row>
    <row r="16" customFormat="false" ht="15" hidden="false" customHeight="false" outlineLevel="0" collapsed="false">
      <c r="A16" s="4" t="s">
        <v>251</v>
      </c>
      <c r="C16" s="16" t="n">
        <f aca="false">PL!C23</f>
        <v>0</v>
      </c>
      <c r="D16" s="16" t="n">
        <f aca="false">PL!D23</f>
        <v>0</v>
      </c>
      <c r="E16" s="16" t="n">
        <f aca="false">PL!E23</f>
        <v>-216.74</v>
      </c>
      <c r="F16" s="16" t="n">
        <f aca="false">PL!F23</f>
        <v>26.43</v>
      </c>
      <c r="G16" s="16" t="n">
        <f aca="false">PL!G23</f>
        <v>-389.4</v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0</v>
      </c>
    </row>
    <row r="17" customFormat="false" ht="15" hidden="false" customHeight="false" outlineLevel="0" collapsed="false">
      <c r="A17" s="4" t="s">
        <v>252</v>
      </c>
      <c r="C17" s="16" t="n">
        <f aca="false">PL!C32</f>
        <v>-88.23</v>
      </c>
      <c r="D17" s="16" t="n">
        <f aca="false">PL!D32</f>
        <v>0</v>
      </c>
      <c r="E17" s="16" t="n">
        <f aca="false">PL!E32</f>
        <v>0</v>
      </c>
      <c r="F17" s="16" t="n">
        <f aca="false">PL!F32</f>
        <v>0</v>
      </c>
      <c r="G17" s="16" t="n">
        <f aca="false">PL!G32</f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</row>
    <row r="18" customFormat="false" ht="15" hidden="false" customHeight="false" outlineLevel="0" collapsed="false">
      <c r="A18" s="4" t="s">
        <v>253</v>
      </c>
      <c r="C18" s="24" t="n">
        <f aca="false">IF(PL!C33&gt;0,PL!C37/PL!C33,0)</f>
        <v>0.394756962364049</v>
      </c>
      <c r="D18" s="24" t="n">
        <f aca="false">IF(PL!D33&gt;0,PL!D37/PL!D33,0)</f>
        <v>0</v>
      </c>
      <c r="E18" s="24" t="n">
        <f aca="false">IF(PL!E33&gt;0,PL!E37/PL!E33,0)</f>
        <v>0</v>
      </c>
      <c r="F18" s="24" t="n">
        <f aca="false">IF(PL!F33&gt;0,PL!F37/PL!F33,0)</f>
        <v>0</v>
      </c>
      <c r="G18" s="24" t="n">
        <f aca="false">IF(PL!G33&gt;0,PL!G37/PL!G33,0)</f>
        <v>0</v>
      </c>
      <c r="H18" s="32" t="n">
        <v>0.1</v>
      </c>
      <c r="I18" s="32" t="n">
        <v>0.15</v>
      </c>
      <c r="J18" s="32" t="n">
        <v>0.2</v>
      </c>
      <c r="K18" s="32" t="n">
        <v>0.2</v>
      </c>
      <c r="L18" s="32" t="n">
        <v>0.2</v>
      </c>
    </row>
    <row r="19" customFormat="false" ht="15" hidden="false" customHeight="false" outlineLevel="0" collapsed="false">
      <c r="A19" s="4" t="s">
        <v>254</v>
      </c>
      <c r="C19" s="24" t="n">
        <f aca="false">IF(PL!C37&gt;0,PL!C38/PL!C37,0)</f>
        <v>0.199479481902917</v>
      </c>
      <c r="D19" s="24" t="n">
        <f aca="false">IF(PL!D37&gt;0,PL!D38/PL!D37,0)</f>
        <v>0.203563819484796</v>
      </c>
      <c r="E19" s="24" t="n">
        <f aca="false">IF(PL!E37&gt;0,PL!E38/PL!E37,0)</f>
        <v>0</v>
      </c>
      <c r="F19" s="24" t="n">
        <f aca="false">IF(PL!F37&gt;0,PL!F38/PL!F37,0)</f>
        <v>0</v>
      </c>
      <c r="G19" s="24" t="n">
        <f aca="false">IF(PL!G37&gt;0,PL!G38/PL!G37,0)</f>
        <v>0</v>
      </c>
      <c r="H19" s="32" t="n">
        <v>0.2056</v>
      </c>
      <c r="I19" s="32" t="n">
        <v>0</v>
      </c>
      <c r="J19" s="32" t="n">
        <v>0</v>
      </c>
      <c r="K19" s="32" t="n">
        <v>0</v>
      </c>
      <c r="L19" s="32" t="n">
        <v>0</v>
      </c>
    </row>
    <row r="20" customFormat="false" ht="15" hidden="false" customHeight="false" outlineLevel="0" collapsed="false">
      <c r="A20" s="11" t="s">
        <v>255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" hidden="false" customHeight="false" outlineLevel="0" collapsed="false">
      <c r="A21" s="4" t="s">
        <v>256</v>
      </c>
      <c r="C21" s="25" t="n">
        <f aca="false">BS!C34/PL!C10*365</f>
        <v>141.624690062169</v>
      </c>
      <c r="D21" s="25" t="n">
        <f aca="false">BS!D34/PL!D10*365</f>
        <v>137.202829927778</v>
      </c>
      <c r="E21" s="25" t="n">
        <f aca="false">BS!E34/PL!E10*365</f>
        <v>129.006340713586</v>
      </c>
      <c r="F21" s="25" t="n">
        <f aca="false">BS!F34/PL!F10*365</f>
        <v>107.782323397812</v>
      </c>
      <c r="G21" s="25" t="n">
        <f aca="false">BS!G34/PL!G10*365</f>
        <v>105.965985493519</v>
      </c>
      <c r="H21" s="34" t="n">
        <v>105</v>
      </c>
      <c r="I21" s="34" t="n">
        <v>105</v>
      </c>
      <c r="J21" s="34" t="n">
        <v>105</v>
      </c>
      <c r="K21" s="34" t="n">
        <v>105</v>
      </c>
      <c r="L21" s="34" t="n">
        <v>105</v>
      </c>
    </row>
    <row r="22" customFormat="false" ht="15" hidden="false" customHeight="false" outlineLevel="0" collapsed="false">
      <c r="A22" s="4" t="s">
        <v>257</v>
      </c>
      <c r="C22" s="25" t="n">
        <f aca="false">BS!C35/PL!C10*365</f>
        <v>25.4880796171056</v>
      </c>
      <c r="D22" s="25" t="n">
        <f aca="false">BS!D35/PL!D10*365</f>
        <v>29.3807583655384</v>
      </c>
      <c r="E22" s="25" t="n">
        <f aca="false">BS!E35/PL!E10*365</f>
        <v>23.9900795030011</v>
      </c>
      <c r="F22" s="25" t="n">
        <f aca="false">BS!F35/PL!F10*365</f>
        <v>24.5407556074294</v>
      </c>
      <c r="G22" s="25" t="n">
        <f aca="false">BS!G35/PL!G10*365</f>
        <v>24.4999127186085</v>
      </c>
      <c r="H22" s="34" t="n">
        <v>24</v>
      </c>
      <c r="I22" s="34" t="n">
        <v>24</v>
      </c>
      <c r="J22" s="34" t="n">
        <v>24</v>
      </c>
      <c r="K22" s="34" t="n">
        <v>24</v>
      </c>
      <c r="L22" s="34" t="n">
        <v>24</v>
      </c>
    </row>
    <row r="23" customFormat="false" ht="15" hidden="false" customHeight="false" outlineLevel="0" collapsed="false">
      <c r="A23" s="4" t="s">
        <v>258</v>
      </c>
      <c r="C23" s="25" t="n">
        <f aca="false">BS!C17/PL!C10*365</f>
        <v>28.7968986746671</v>
      </c>
      <c r="D23" s="25" t="n">
        <f aca="false">BS!D17/PL!D10*365</f>
        <v>37.4114933775275</v>
      </c>
      <c r="E23" s="25" t="n">
        <f aca="false">BS!E17/PL!E10*365</f>
        <v>42.8549993127482</v>
      </c>
      <c r="F23" s="25" t="n">
        <f aca="false">BS!F17/PL!F10*365</f>
        <v>47.817167102803</v>
      </c>
      <c r="G23" s="25" t="n">
        <f aca="false">BS!G17/PL!G10*365</f>
        <v>39.559097565663</v>
      </c>
      <c r="H23" s="34" t="n">
        <v>40</v>
      </c>
      <c r="I23" s="34" t="n">
        <v>40</v>
      </c>
      <c r="J23" s="34" t="n">
        <v>40</v>
      </c>
      <c r="K23" s="34" t="n">
        <v>40</v>
      </c>
      <c r="L23" s="34" t="n">
        <v>40</v>
      </c>
    </row>
    <row r="24" customFormat="false" ht="15" hidden="false" customHeight="false" outlineLevel="0" collapsed="false">
      <c r="A24" s="4" t="s">
        <v>259</v>
      </c>
      <c r="C24" s="24" t="n">
        <f aca="false">BS!C38/PL!C10</f>
        <v>0.047961334284823</v>
      </c>
      <c r="D24" s="24" t="n">
        <f aca="false">BS!D38/PL!D10</f>
        <v>0.153989513436997</v>
      </c>
      <c r="E24" s="24" t="n">
        <f aca="false">BS!E38/PL!E10</f>
        <v>0.14761449379235</v>
      </c>
      <c r="F24" s="24" t="n">
        <f aca="false">BS!F38/PL!F10</f>
        <v>0.14687884283214</v>
      </c>
      <c r="G24" s="24" t="n">
        <f aca="false">BS!G38/PL!G10</f>
        <v>0.120054993996324</v>
      </c>
      <c r="H24" s="32" t="n">
        <v>0.12</v>
      </c>
      <c r="I24" s="32" t="n">
        <v>0.12</v>
      </c>
      <c r="J24" s="32" t="n">
        <v>0.12</v>
      </c>
      <c r="K24" s="32" t="n">
        <v>0.12</v>
      </c>
      <c r="L24" s="32" t="n">
        <v>0.12</v>
      </c>
    </row>
    <row r="25" customFormat="false" ht="15" hidden="false" customHeight="false" outlineLevel="0" collapsed="false">
      <c r="A25" s="4" t="s">
        <v>260</v>
      </c>
      <c r="C25" s="24" t="n">
        <f aca="false">BS!C18/PL!C10</f>
        <v>0.306635108829908</v>
      </c>
      <c r="D25" s="24" t="n">
        <f aca="false">BS!D18/PL!D10</f>
        <v>0.421609919932152</v>
      </c>
      <c r="E25" s="24" t="n">
        <f aca="false">BS!E18/PL!E10</f>
        <v>0.413417405265541</v>
      </c>
      <c r="F25" s="24" t="n">
        <f aca="false">BS!F18/PL!F10</f>
        <v>0.370277801039152</v>
      </c>
      <c r="G25" s="24" t="n">
        <f aca="false">BS!G18/PL!G10</f>
        <v>0.319551136218552</v>
      </c>
      <c r="H25" s="32" t="n">
        <v>0.32</v>
      </c>
      <c r="I25" s="32" t="n">
        <v>0.32</v>
      </c>
      <c r="J25" s="32" t="n">
        <v>0.32</v>
      </c>
      <c r="K25" s="32" t="n">
        <v>0.32</v>
      </c>
      <c r="L25" s="32" t="n">
        <v>0.32</v>
      </c>
    </row>
    <row r="26" customFormat="false" ht="15" hidden="false" customHeight="false" outlineLevel="0" collapsed="false">
      <c r="A26" s="11" t="s">
        <v>261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15" hidden="false" customHeight="false" outlineLevel="0" collapsed="false">
      <c r="A27" s="4" t="s">
        <v>262</v>
      </c>
      <c r="D27" s="35" t="n">
        <f aca="false">-CashFlow!D27</f>
        <v>7891.09000000001</v>
      </c>
      <c r="E27" s="35" t="n">
        <f aca="false">-CashFlow!E27</f>
        <v>5387.63999999999</v>
      </c>
      <c r="F27" s="35" t="n">
        <f aca="false">-CashFlow!F27</f>
        <v>6511.04</v>
      </c>
      <c r="G27" s="35" t="n">
        <f aca="false">-CashFlow!G27</f>
        <v>3750.45</v>
      </c>
      <c r="H27" s="36" t="n">
        <v>3500</v>
      </c>
      <c r="I27" s="36" t="n">
        <v>3200</v>
      </c>
      <c r="J27" s="36" t="n">
        <v>3000</v>
      </c>
      <c r="K27" s="36" t="n">
        <v>3000</v>
      </c>
      <c r="L27" s="36" t="n">
        <v>3000</v>
      </c>
    </row>
    <row r="28" customFormat="false" ht="15" hidden="false" customHeight="false" outlineLevel="0" collapsed="false">
      <c r="A28" s="4" t="s">
        <v>263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</row>
    <row r="29" customFormat="false" ht="15" hidden="false" customHeight="false" outlineLevel="0" collapsed="false">
      <c r="A29" s="4" t="s">
        <v>264</v>
      </c>
      <c r="H29" s="36" t="n">
        <v>1500</v>
      </c>
      <c r="I29" s="36" t="n">
        <v>1500</v>
      </c>
      <c r="J29" s="36" t="n">
        <v>1500</v>
      </c>
      <c r="K29" s="36" t="n">
        <v>1500</v>
      </c>
      <c r="L29" s="36" t="n">
        <v>1500</v>
      </c>
    </row>
    <row r="30" customFormat="false" ht="15" hidden="false" customHeight="false" outlineLevel="0" collapsed="false">
      <c r="A30" s="4" t="s">
        <v>265</v>
      </c>
      <c r="D30" s="35" t="n">
        <f aca="false">BS!D16-BS!C16</f>
        <v>1379.7</v>
      </c>
      <c r="E30" s="35" t="n">
        <f aca="false">BS!E16-BS!D16</f>
        <v>4238.18</v>
      </c>
      <c r="F30" s="35" t="n">
        <f aca="false">BS!F16-BS!E16</f>
        <v>-7568.72</v>
      </c>
      <c r="G30" s="35" t="n">
        <f aca="false">BS!G16-BS!F16</f>
        <v>-1613.1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</row>
    <row r="32" customFormat="false" ht="15" hidden="false" customHeight="false" outlineLevel="0" collapsed="false">
      <c r="A32" s="11" t="s">
        <v>266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customFormat="false" ht="15" hidden="false" customHeight="false" outlineLevel="0" collapsed="false">
      <c r="A33" s="4" t="s">
        <v>267</v>
      </c>
    </row>
    <row r="34" customFormat="false" ht="15" hidden="false" customHeight="false" outlineLevel="0" collapsed="false">
      <c r="A34" s="4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"/>
    <col collapsed="false" customWidth="true" hidden="false" outlineLevel="0" max="12" min="3" style="0" width="13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3" customFormat="false" ht="15" hidden="false" customHeight="false" outlineLevel="0" collapsed="false">
      <c r="C3" s="29" t="s">
        <v>232</v>
      </c>
      <c r="H3" s="29" t="s">
        <v>233</v>
      </c>
    </row>
    <row r="4" customFormat="false" ht="15" hidden="false" customHeight="false" outlineLevel="0" collapsed="false">
      <c r="A4" s="9" t="s">
        <v>41</v>
      </c>
      <c r="B4" s="9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30" t="s">
        <v>234</v>
      </c>
      <c r="I4" s="30" t="s">
        <v>235</v>
      </c>
      <c r="J4" s="30" t="s">
        <v>236</v>
      </c>
      <c r="K4" s="30" t="s">
        <v>237</v>
      </c>
      <c r="L4" s="30" t="s">
        <v>238</v>
      </c>
    </row>
    <row r="5" customFormat="false" ht="15" hidden="false" customHeight="false" outlineLevel="0" collapsed="false">
      <c r="A5" s="11" t="s">
        <v>271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15" hidden="false" customHeight="false" outlineLevel="0" collapsed="false">
      <c r="A6" s="3" t="s">
        <v>272</v>
      </c>
      <c r="C6" s="37" t="n">
        <f aca="false">PL!C10</f>
        <v>45710.78</v>
      </c>
      <c r="D6" s="37" t="n">
        <f aca="false">PL!D10</f>
        <v>39051.88</v>
      </c>
      <c r="E6" s="37" t="n">
        <f aca="false">PL!E10</f>
        <v>44452.41</v>
      </c>
      <c r="F6" s="37" t="n">
        <f aca="false">PL!F10</f>
        <v>57558.46</v>
      </c>
      <c r="G6" s="37" t="n">
        <f aca="false">PL!G10</f>
        <v>66967.31</v>
      </c>
      <c r="H6" s="37" t="n">
        <f aca="false">G6*(1+Assumptions!H8)</f>
        <v>70315.6755</v>
      </c>
      <c r="I6" s="37" t="n">
        <f aca="false">H6*(1+Assumptions!I8)</f>
        <v>75237.772785</v>
      </c>
      <c r="J6" s="37" t="n">
        <f aca="false">I6*(1+Assumptions!J8)</f>
        <v>80504.41687995</v>
      </c>
      <c r="K6" s="37" t="n">
        <f aca="false">J6*(1+Assumptions!K8)</f>
        <v>85334.681892747</v>
      </c>
      <c r="L6" s="37" t="n">
        <f aca="false">K6*(1+Assumptions!L8)</f>
        <v>90454.7628063119</v>
      </c>
    </row>
    <row r="7" customFormat="false" ht="15" hidden="false" customHeight="false" outlineLevel="0" collapsed="false">
      <c r="A7" s="4" t="s">
        <v>273</v>
      </c>
      <c r="D7" s="24" t="n">
        <f aca="false">D6/C6-1</f>
        <v>-0.145674608921572</v>
      </c>
      <c r="E7" s="24" t="n">
        <f aca="false">E6/D6-1</f>
        <v>0.138291165495746</v>
      </c>
      <c r="F7" s="24" t="n">
        <f aca="false">F6/E6-1</f>
        <v>0.294833283504764</v>
      </c>
      <c r="G7" s="24" t="n">
        <f aca="false">G6/F6-1</f>
        <v>0.163465978763157</v>
      </c>
      <c r="H7" s="24" t="n">
        <f aca="false">H6/G6-1</f>
        <v>0.05</v>
      </c>
      <c r="I7" s="24" t="n">
        <f aca="false">I6/H6-1</f>
        <v>0.0700000000000001</v>
      </c>
      <c r="J7" s="24" t="n">
        <f aca="false">J6/I6-1</f>
        <v>0.0700000000000001</v>
      </c>
      <c r="K7" s="24" t="n">
        <f aca="false">K6/J6-1</f>
        <v>0.0600000000000001</v>
      </c>
      <c r="L7" s="24" t="n">
        <f aca="false">L6/K6-1</f>
        <v>0.0600000000000001</v>
      </c>
    </row>
    <row r="8" customFormat="false" ht="15" hidden="false" customHeight="false" outlineLevel="0" collapsed="false">
      <c r="A8" s="4" t="s">
        <v>274</v>
      </c>
      <c r="C8" s="35" t="n">
        <f aca="false">PL!C14+PL!C15+PL!C16</f>
        <v>17115.26</v>
      </c>
      <c r="D8" s="35" t="n">
        <f aca="false">PL!D14+PL!D15+PL!D16</f>
        <v>17695.84</v>
      </c>
      <c r="E8" s="35" t="n">
        <f aca="false">PL!E14+PL!E15+PL!E16</f>
        <v>21246.33</v>
      </c>
      <c r="F8" s="35" t="n">
        <f aca="false">PL!F14+PL!F15+PL!F16</f>
        <v>27814.3</v>
      </c>
      <c r="G8" s="35" t="n">
        <f aca="false">PL!G14+PL!G15+PL!G16</f>
        <v>29574.29</v>
      </c>
      <c r="H8" s="35" t="n">
        <f aca="false">H6*Assumptions!H9</f>
        <v>32345.21073</v>
      </c>
      <c r="I8" s="35" t="n">
        <f aca="false">I6*Assumptions!I9</f>
        <v>34609.3754811</v>
      </c>
      <c r="J8" s="35" t="n">
        <f aca="false">J6*Assumptions!J9</f>
        <v>37032.031764777</v>
      </c>
      <c r="K8" s="35" t="n">
        <f aca="false">K6*Assumptions!K9</f>
        <v>39253.9536706636</v>
      </c>
      <c r="L8" s="35" t="n">
        <f aca="false">L6*Assumptions!L9</f>
        <v>41609.1908909035</v>
      </c>
    </row>
    <row r="9" customFormat="false" ht="15" hidden="false" customHeight="false" outlineLevel="0" collapsed="false">
      <c r="A9" s="4" t="s">
        <v>98</v>
      </c>
      <c r="C9" s="35" t="n">
        <f aca="false">PL!C17</f>
        <v>9736.33</v>
      </c>
      <c r="D9" s="35" t="n">
        <f aca="false">PL!D17</f>
        <v>9714.97</v>
      </c>
      <c r="E9" s="35" t="n">
        <f aca="false">PL!E17</f>
        <v>8947.83</v>
      </c>
      <c r="F9" s="35" t="n">
        <f aca="false">PL!F17</f>
        <v>8850.07</v>
      </c>
      <c r="G9" s="35" t="n">
        <f aca="false">PL!G17</f>
        <v>8830.34</v>
      </c>
      <c r="H9" s="35" t="n">
        <f aca="false">H6*Assumptions!H10</f>
        <v>9141.037815</v>
      </c>
      <c r="I9" s="35" t="n">
        <f aca="false">I6*Assumptions!I10</f>
        <v>9630.43491648</v>
      </c>
      <c r="J9" s="35" t="n">
        <f aca="false">J6*Assumptions!J10</f>
        <v>10143.5565268737</v>
      </c>
      <c r="K9" s="35" t="n">
        <f aca="false">K6*Assumptions!K10</f>
        <v>10581.5005547006</v>
      </c>
      <c r="L9" s="35" t="n">
        <f aca="false">L6*Assumptions!L10</f>
        <v>11035.48106237</v>
      </c>
    </row>
    <row r="10" customFormat="false" ht="15" hidden="false" customHeight="false" outlineLevel="0" collapsed="false">
      <c r="A10" s="4" t="s">
        <v>101</v>
      </c>
      <c r="C10" s="35" t="n">
        <f aca="false">PL!C20</f>
        <v>14205.32</v>
      </c>
      <c r="D10" s="35" t="n">
        <f aca="false">PL!D20</f>
        <v>14540.44</v>
      </c>
      <c r="E10" s="35" t="n">
        <f aca="false">PL!E20</f>
        <v>14220.21</v>
      </c>
      <c r="F10" s="35" t="n">
        <f aca="false">PL!F20</f>
        <v>16276.24</v>
      </c>
      <c r="G10" s="35" t="n">
        <f aca="false">PL!G20</f>
        <v>18828.57</v>
      </c>
      <c r="H10" s="35" t="n">
        <f aca="false">H6*Assumptions!H11</f>
        <v>19688.38914</v>
      </c>
      <c r="I10" s="35" t="n">
        <f aca="false">I6*Assumptions!I11</f>
        <v>21066.5763798</v>
      </c>
      <c r="J10" s="35" t="n">
        <f aca="false">J6*Assumptions!J11</f>
        <v>22541.236726386</v>
      </c>
      <c r="K10" s="35" t="n">
        <f aca="false">K6*Assumptions!K11</f>
        <v>23893.7109299692</v>
      </c>
      <c r="L10" s="35" t="n">
        <f aca="false">L6*Assumptions!L11</f>
        <v>25327.3335857673</v>
      </c>
    </row>
    <row r="11" customFormat="false" ht="15" hidden="false" customHeight="false" outlineLevel="0" collapsed="false">
      <c r="A11" s="13" t="s">
        <v>275</v>
      </c>
      <c r="B11" s="14"/>
      <c r="C11" s="38" t="n">
        <f aca="false">C6-C8-C9-C10</f>
        <v>4653.87</v>
      </c>
      <c r="D11" s="38" t="n">
        <f aca="false">D6-D8-D9-D10</f>
        <v>-2899.37</v>
      </c>
      <c r="E11" s="38" t="n">
        <f aca="false">E6-E8-E9-E10</f>
        <v>38.0399999999954</v>
      </c>
      <c r="F11" s="38" t="n">
        <f aca="false">F6-F8-F9-F10</f>
        <v>4617.85</v>
      </c>
      <c r="G11" s="38" t="n">
        <f aca="false">G6-G8-G9-G10</f>
        <v>9734.11</v>
      </c>
      <c r="H11" s="38" t="n">
        <f aca="false">H6-H8-H9-H10</f>
        <v>9141.037815</v>
      </c>
      <c r="I11" s="38" t="n">
        <f aca="false">I6-I8-I9-I10</f>
        <v>9931.38600762</v>
      </c>
      <c r="J11" s="38" t="n">
        <f aca="false">J6-J8-J9-J10</f>
        <v>10787.5918619133</v>
      </c>
      <c r="K11" s="38" t="n">
        <f aca="false">K6-K8-K9-K10</f>
        <v>11605.5167374136</v>
      </c>
      <c r="L11" s="38" t="n">
        <f aca="false">L6-L8-L9-L10</f>
        <v>12482.757267271</v>
      </c>
    </row>
    <row r="12" customFormat="false" ht="15" hidden="false" customHeight="false" outlineLevel="0" collapsed="false">
      <c r="A12" s="4" t="s">
        <v>276</v>
      </c>
      <c r="C12" s="24" t="n">
        <f aca="false">C11/C6</f>
        <v>0.101811213897466</v>
      </c>
      <c r="D12" s="24" t="n">
        <f aca="false">D11/D6</f>
        <v>-0.0742440568802322</v>
      </c>
      <c r="E12" s="24" t="n">
        <f aca="false">E11/E6</f>
        <v>0.000855746628810348</v>
      </c>
      <c r="F12" s="24" t="n">
        <f aca="false">F11/F6</f>
        <v>0.0802288664429173</v>
      </c>
      <c r="G12" s="24" t="n">
        <f aca="false">G11/G6</f>
        <v>0.145356144662224</v>
      </c>
      <c r="H12" s="24" t="n">
        <f aca="false">H11/H6</f>
        <v>0.13</v>
      </c>
      <c r="I12" s="24" t="n">
        <f aca="false">I11/I6</f>
        <v>0.132</v>
      </c>
      <c r="J12" s="24" t="n">
        <f aca="false">J11/J6</f>
        <v>0.134</v>
      </c>
      <c r="K12" s="24" t="n">
        <f aca="false">K11/K6</f>
        <v>0.136</v>
      </c>
      <c r="L12" s="24" t="n">
        <f aca="false">L11/L6</f>
        <v>0.138</v>
      </c>
    </row>
    <row r="13" customFormat="false" ht="15" hidden="false" customHeight="false" outlineLevel="0" collapsed="false">
      <c r="A13" s="4" t="s">
        <v>277</v>
      </c>
      <c r="C13" s="35" t="n">
        <f aca="false">PL!C19</f>
        <v>1773.28</v>
      </c>
      <c r="D13" s="35" t="n">
        <f aca="false">PL!D19</f>
        <v>2402.35</v>
      </c>
      <c r="E13" s="35" t="n">
        <f aca="false">PL!E19</f>
        <v>2679.95</v>
      </c>
      <c r="F13" s="35" t="n">
        <f aca="false">PL!F19</f>
        <v>3064.92</v>
      </c>
      <c r="G13" s="35" t="n">
        <f aca="false">PL!G19</f>
        <v>3384.72</v>
      </c>
      <c r="H13" s="35" t="n">
        <f aca="false">G41*Assumptions!H13</f>
        <v>3404.39924</v>
      </c>
      <c r="I13" s="35" t="n">
        <f aca="false">H41*Assumptions!I13</f>
        <v>3408.60567344</v>
      </c>
      <c r="J13" s="35" t="n">
        <f aca="false">I41*Assumptions!J13</f>
        <v>3399.42702380864</v>
      </c>
      <c r="K13" s="35" t="n">
        <f aca="false">J41*Assumptions!K13</f>
        <v>3381.85223476106</v>
      </c>
      <c r="L13" s="35" t="n">
        <f aca="false">K41*Assumptions!L13</f>
        <v>3365.05073643157</v>
      </c>
    </row>
    <row r="14" customFormat="false" ht="15" hidden="false" customHeight="false" outlineLevel="0" collapsed="false">
      <c r="A14" s="13" t="s">
        <v>278</v>
      </c>
      <c r="B14" s="14"/>
      <c r="C14" s="38" t="n">
        <f aca="false">C11-C13</f>
        <v>2880.59</v>
      </c>
      <c r="D14" s="38" t="n">
        <f aca="false">D11-D13</f>
        <v>-5301.72</v>
      </c>
      <c r="E14" s="38" t="n">
        <f aca="false">E11-E13</f>
        <v>-2641.91</v>
      </c>
      <c r="F14" s="38" t="n">
        <f aca="false">F11-F13</f>
        <v>1552.93</v>
      </c>
      <c r="G14" s="38" t="n">
        <f aca="false">G11-G13</f>
        <v>6349.39</v>
      </c>
      <c r="H14" s="38" t="n">
        <f aca="false">H11-H13</f>
        <v>5736.638575</v>
      </c>
      <c r="I14" s="38" t="n">
        <f aca="false">I11-I13</f>
        <v>6522.78033418</v>
      </c>
      <c r="J14" s="38" t="n">
        <f aca="false">J11-J13</f>
        <v>7388.16483810465</v>
      </c>
      <c r="K14" s="38" t="n">
        <f aca="false">K11-K13</f>
        <v>8223.66450265254</v>
      </c>
      <c r="L14" s="38" t="n">
        <f aca="false">L11-L13</f>
        <v>9117.70653083946</v>
      </c>
    </row>
    <row r="15" customFormat="false" ht="15" hidden="false" customHeight="false" outlineLevel="0" collapsed="false">
      <c r="A15" s="4" t="s">
        <v>92</v>
      </c>
      <c r="C15" s="35" t="n">
        <f aca="false">PL!C11</f>
        <v>1020.78</v>
      </c>
      <c r="D15" s="35" t="n">
        <f aca="false">PL!D11</f>
        <v>594.67</v>
      </c>
      <c r="E15" s="35" t="n">
        <f aca="false">PL!E11</f>
        <v>535.61</v>
      </c>
      <c r="F15" s="35" t="n">
        <f aca="false">PL!F11</f>
        <v>484.45</v>
      </c>
      <c r="G15" s="35" t="n">
        <f aca="false">PL!G11</f>
        <v>532.82</v>
      </c>
      <c r="H15" s="35" t="n">
        <f aca="false">H6*Assumptions!H12</f>
        <v>562.525404</v>
      </c>
      <c r="I15" s="35" t="n">
        <f aca="false">I6*Assumptions!I12</f>
        <v>601.90218228</v>
      </c>
      <c r="J15" s="35" t="n">
        <f aca="false">J6*Assumptions!J12</f>
        <v>644.0353350396</v>
      </c>
      <c r="K15" s="35" t="n">
        <f aca="false">K6*Assumptions!K12</f>
        <v>682.677455141976</v>
      </c>
      <c r="L15" s="35" t="n">
        <f aca="false">L6*Assumptions!L12</f>
        <v>723.638102450495</v>
      </c>
    </row>
    <row r="16" customFormat="false" ht="15" hidden="false" customHeight="false" outlineLevel="0" collapsed="false">
      <c r="A16" s="4" t="s">
        <v>99</v>
      </c>
      <c r="C16" s="35" t="n">
        <f aca="false">PL!C18</f>
        <v>1454.23</v>
      </c>
      <c r="D16" s="35" t="n">
        <f aca="false">PL!D18</f>
        <v>2300.45</v>
      </c>
      <c r="E16" s="35" t="n">
        <f aca="false">PL!E18</f>
        <v>2527.82</v>
      </c>
      <c r="F16" s="35" t="n">
        <f aca="false">PL!F18</f>
        <v>2822.75</v>
      </c>
      <c r="G16" s="35" t="n">
        <f aca="false">PL!G18</f>
        <v>3154.92</v>
      </c>
      <c r="H16" s="35" t="n">
        <f aca="false">(G32+G36)*Assumptions!H14</f>
        <v>3107.541</v>
      </c>
      <c r="I16" s="35" t="n">
        <f aca="false">(H32+H36)*Assumptions!I14</f>
        <v>2995.041</v>
      </c>
      <c r="J16" s="35" t="n">
        <f aca="false">(I32+I36)*Assumptions!J14</f>
        <v>2882.541</v>
      </c>
      <c r="K16" s="35" t="n">
        <f aca="false">(J32+J36)*Assumptions!K14</f>
        <v>2770.041</v>
      </c>
      <c r="L16" s="35" t="n">
        <f aca="false">(K32+K36)*Assumptions!L14</f>
        <v>2657.541</v>
      </c>
    </row>
    <row r="17" customFormat="false" ht="15" hidden="false" customHeight="false" outlineLevel="0" collapsed="false">
      <c r="A17" s="4" t="s">
        <v>104</v>
      </c>
      <c r="C17" s="35" t="n">
        <f aca="false">PL!C23</f>
        <v>0</v>
      </c>
      <c r="D17" s="35" t="n">
        <f aca="false">PL!D23</f>
        <v>0</v>
      </c>
      <c r="E17" s="35" t="n">
        <f aca="false">PL!E23</f>
        <v>-216.74</v>
      </c>
      <c r="F17" s="35" t="n">
        <f aca="false">PL!F23</f>
        <v>26.43</v>
      </c>
      <c r="G17" s="35" t="n">
        <f aca="false">PL!G23</f>
        <v>-389.4</v>
      </c>
      <c r="H17" s="35" t="n">
        <f aca="false">Assumptions!H16</f>
        <v>0</v>
      </c>
      <c r="I17" s="35" t="n">
        <f aca="false">Assumptions!I16</f>
        <v>0</v>
      </c>
      <c r="J17" s="35" t="n">
        <f aca="false">Assumptions!J16</f>
        <v>0</v>
      </c>
      <c r="K17" s="35" t="n">
        <f aca="false">Assumptions!K16</f>
        <v>0</v>
      </c>
      <c r="L17" s="35" t="n">
        <f aca="false">Assumptions!L16</f>
        <v>0</v>
      </c>
    </row>
    <row r="18" customFormat="false" ht="15" hidden="false" customHeight="false" outlineLevel="0" collapsed="false">
      <c r="A18" s="13" t="s">
        <v>279</v>
      </c>
      <c r="B18" s="14"/>
      <c r="C18" s="38" t="n">
        <f aca="false">C14+C15-C16+C17</f>
        <v>2447.14</v>
      </c>
      <c r="D18" s="38" t="n">
        <f aca="false">D14+D15-D16+D17</f>
        <v>-7007.5</v>
      </c>
      <c r="E18" s="38" t="n">
        <f aca="false">E14+E15-E16+E17</f>
        <v>-4850.86</v>
      </c>
      <c r="F18" s="38" t="n">
        <f aca="false">F14+F15-F16+F17</f>
        <v>-758.940000000003</v>
      </c>
      <c r="G18" s="38" t="n">
        <f aca="false">G14+G15-G16+G17</f>
        <v>3337.89</v>
      </c>
      <c r="H18" s="38" t="n">
        <f aca="false">H14+H15-H16+H17</f>
        <v>3191.622979</v>
      </c>
      <c r="I18" s="38" t="n">
        <f aca="false">I14+I15-I16+I17</f>
        <v>4129.64151646</v>
      </c>
      <c r="J18" s="38" t="n">
        <f aca="false">J14+J15-J16+J17</f>
        <v>5149.65917314426</v>
      </c>
      <c r="K18" s="38" t="n">
        <f aca="false">K14+K15-K16+K17</f>
        <v>6136.30095779451</v>
      </c>
      <c r="L18" s="38" t="n">
        <f aca="false">L14+L15-L16+L17</f>
        <v>7183.80363328995</v>
      </c>
    </row>
    <row r="19" customFormat="false" ht="15" hidden="false" customHeight="false" outlineLevel="0" collapsed="false">
      <c r="A19" s="4" t="s">
        <v>280</v>
      </c>
      <c r="C19" s="35" t="n">
        <f aca="false">PL!C30</f>
        <v>266.23</v>
      </c>
      <c r="D19" s="35" t="n">
        <f aca="false">PL!D30</f>
        <v>-2986.06</v>
      </c>
      <c r="E19" s="35" t="n">
        <f aca="false">PL!E30</f>
        <v>-2017.62</v>
      </c>
      <c r="F19" s="35" t="n">
        <f aca="false">PL!F30</f>
        <v>-277.23</v>
      </c>
      <c r="G19" s="35" t="n">
        <f aca="false">PL!G30</f>
        <v>1159.07</v>
      </c>
      <c r="H19" s="35" t="n">
        <f aca="false">MAX(H18,0)*Assumptions!H15</f>
        <v>803.331503814299</v>
      </c>
      <c r="I19" s="35" t="n">
        <f aca="false">MAX(I18,0)*Assumptions!I15</f>
        <v>1039.43076969298</v>
      </c>
      <c r="J19" s="35" t="n">
        <f aca="false">MAX(J18,0)*Assumptions!J15</f>
        <v>1296.16921388041</v>
      </c>
      <c r="K19" s="35" t="n">
        <f aca="false">MAX(K18,0)*Assumptions!K15</f>
        <v>1544.50695107688</v>
      </c>
      <c r="L19" s="35" t="n">
        <f aca="false">MAX(L18,0)*Assumptions!L15</f>
        <v>1808.16337449908</v>
      </c>
    </row>
    <row r="20" customFormat="false" ht="15" hidden="false" customHeight="false" outlineLevel="0" collapsed="false">
      <c r="A20" s="4" t="s">
        <v>281</v>
      </c>
      <c r="C20" s="35" t="n">
        <f aca="false">PL!C32</f>
        <v>-88.23</v>
      </c>
      <c r="D20" s="35" t="n">
        <f aca="false">PL!D32</f>
        <v>0</v>
      </c>
      <c r="E20" s="35" t="n">
        <f aca="false">PL!E32</f>
        <v>0</v>
      </c>
      <c r="F20" s="35" t="n">
        <f aca="false">PL!F32</f>
        <v>0</v>
      </c>
      <c r="G20" s="35" t="n">
        <f aca="false">PL!G32</f>
        <v>0</v>
      </c>
      <c r="H20" s="35" t="n">
        <f aca="false">Assumptions!H17</f>
        <v>0</v>
      </c>
      <c r="I20" s="35" t="n">
        <f aca="false">Assumptions!I17</f>
        <v>0</v>
      </c>
      <c r="J20" s="35" t="n">
        <f aca="false">Assumptions!J17</f>
        <v>0</v>
      </c>
      <c r="K20" s="35" t="n">
        <f aca="false">Assumptions!K17</f>
        <v>0</v>
      </c>
      <c r="L20" s="35" t="n">
        <f aca="false">Assumptions!L17</f>
        <v>0</v>
      </c>
    </row>
    <row r="21" customFormat="false" ht="15" hidden="false" customHeight="false" outlineLevel="0" collapsed="false">
      <c r="A21" s="13" t="s">
        <v>282</v>
      </c>
      <c r="B21" s="14"/>
      <c r="C21" s="38" t="n">
        <f aca="false">C18-C19+C20</f>
        <v>2092.68</v>
      </c>
      <c r="D21" s="38" t="n">
        <f aca="false">D18-D19+D20</f>
        <v>-4021.44</v>
      </c>
      <c r="E21" s="38" t="n">
        <f aca="false">E18-E19+E20</f>
        <v>-2833.24</v>
      </c>
      <c r="F21" s="38" t="n">
        <f aca="false">F18-F19+F20</f>
        <v>-481.710000000003</v>
      </c>
      <c r="G21" s="38" t="n">
        <f aca="false">G18-G19+G20</f>
        <v>2178.82</v>
      </c>
      <c r="H21" s="38" t="n">
        <f aca="false">H18-H19+H20</f>
        <v>2388.2914751857</v>
      </c>
      <c r="I21" s="38" t="n">
        <f aca="false">I18-I19+I20</f>
        <v>3090.21074676702</v>
      </c>
      <c r="J21" s="38" t="n">
        <f aca="false">J18-J19+J20</f>
        <v>3853.48995926385</v>
      </c>
      <c r="K21" s="38" t="n">
        <f aca="false">K18-K19+K20</f>
        <v>4591.79400671764</v>
      </c>
      <c r="L21" s="38" t="n">
        <f aca="false">L18-L19+L20</f>
        <v>5375.64025879087</v>
      </c>
    </row>
    <row r="22" customFormat="false" ht="15" hidden="false" customHeight="false" outlineLevel="0" collapsed="false">
      <c r="A22" s="4" t="s">
        <v>283</v>
      </c>
      <c r="C22" s="24" t="n">
        <f aca="false">C21/C6</f>
        <v>0.0457808858216815</v>
      </c>
      <c r="D22" s="24" t="n">
        <f aca="false">D21/D6</f>
        <v>-0.102976860525025</v>
      </c>
      <c r="E22" s="24" t="n">
        <f aca="false">E21/E6</f>
        <v>-0.0637364768299403</v>
      </c>
      <c r="F22" s="24" t="n">
        <f aca="false">F21/F6</f>
        <v>-0.00836905643410201</v>
      </c>
      <c r="G22" s="24" t="n">
        <f aca="false">G21/G6</f>
        <v>0.0325355759399623</v>
      </c>
      <c r="H22" s="24" t="n">
        <f aca="false">H21/H6</f>
        <v>0.0339652781289956</v>
      </c>
      <c r="I22" s="24" t="n">
        <f aca="false">I21/I6</f>
        <v>0.0410725973454534</v>
      </c>
      <c r="J22" s="24" t="n">
        <f aca="false">J21/J6</f>
        <v>0.0478668141278541</v>
      </c>
      <c r="K22" s="24" t="n">
        <f aca="false">K21/K6</f>
        <v>0.0538092356456995</v>
      </c>
      <c r="L22" s="24" t="n">
        <f aca="false">L21/L6</f>
        <v>0.059429045989558</v>
      </c>
    </row>
    <row r="23" customFormat="false" ht="15" hidden="false" customHeight="false" outlineLevel="0" collapsed="false">
      <c r="A23" s="4" t="s">
        <v>284</v>
      </c>
      <c r="C23" s="35" t="n">
        <f aca="false">PL!C37</f>
        <v>826.1</v>
      </c>
      <c r="D23" s="35" t="n">
        <f aca="false">PL!D37</f>
        <v>103.26</v>
      </c>
      <c r="E23" s="35" t="n">
        <f aca="false">PL!E37</f>
        <v>0</v>
      </c>
      <c r="F23" s="35" t="n">
        <f aca="false">PL!F37</f>
        <v>0</v>
      </c>
      <c r="G23" s="35" t="n">
        <f aca="false">PL!G37</f>
        <v>0</v>
      </c>
      <c r="H23" s="35" t="n">
        <f aca="false">MAX(H21,0)*Assumptions!H18</f>
        <v>238.82914751857</v>
      </c>
      <c r="I23" s="35" t="n">
        <f aca="false">MAX(I21,0)*Assumptions!I18</f>
        <v>463.531612015053</v>
      </c>
      <c r="J23" s="35" t="n">
        <f aca="false">MAX(J21,0)*Assumptions!J18</f>
        <v>770.697991852769</v>
      </c>
      <c r="K23" s="35" t="n">
        <f aca="false">MAX(K21,0)*Assumptions!K18</f>
        <v>918.358801343527</v>
      </c>
      <c r="L23" s="35" t="n">
        <f aca="false">MAX(L21,0)*Assumptions!L18</f>
        <v>1075.12805175817</v>
      </c>
    </row>
    <row r="24" customFormat="false" ht="15" hidden="false" customHeight="false" outlineLevel="0" collapsed="false">
      <c r="A24" s="4" t="s">
        <v>120</v>
      </c>
      <c r="C24" s="35" t="n">
        <f aca="false">PL!C38</f>
        <v>164.79</v>
      </c>
      <c r="D24" s="35" t="n">
        <f aca="false">PL!D38</f>
        <v>21.02</v>
      </c>
      <c r="E24" s="35" t="n">
        <f aca="false">PL!E38</f>
        <v>0</v>
      </c>
      <c r="F24" s="35" t="n">
        <f aca="false">PL!F38</f>
        <v>0</v>
      </c>
      <c r="G24" s="35" t="n">
        <f aca="false">PL!G38</f>
        <v>0</v>
      </c>
      <c r="H24" s="35" t="n">
        <f aca="false">H23*Assumptions!H19</f>
        <v>49.103272729818</v>
      </c>
      <c r="I24" s="35" t="n">
        <f aca="false">I23*Assumptions!I19</f>
        <v>0</v>
      </c>
      <c r="J24" s="35" t="n">
        <f aca="false">J23*Assumptions!J19</f>
        <v>0</v>
      </c>
      <c r="K24" s="35" t="n">
        <f aca="false">K23*Assumptions!K19</f>
        <v>0</v>
      </c>
      <c r="L24" s="35" t="n">
        <f aca="false">L23*Assumptions!L19</f>
        <v>0</v>
      </c>
    </row>
    <row r="25" customFormat="false" ht="15" hidden="false" customHeight="false" outlineLevel="0" collapsed="false">
      <c r="A25" s="4" t="s">
        <v>285</v>
      </c>
      <c r="C25" s="20" t="n">
        <f aca="false">C21/(C29/Assumptions!$C$6)</f>
        <v>5.06637162785406</v>
      </c>
      <c r="D25" s="20" t="n">
        <f aca="false">D21/(D29/Assumptions!$C$6)</f>
        <v>-9.7358934567719</v>
      </c>
      <c r="E25" s="20" t="n">
        <f aca="false">E21/(E29/Assumptions!$C$6)</f>
        <v>-6.85926503378502</v>
      </c>
      <c r="F25" s="20" t="n">
        <f aca="false">F21/(F29/Assumptions!$C$6)</f>
        <v>-1.16621837875528</v>
      </c>
      <c r="G25" s="20" t="n">
        <f aca="false">G21/(G29/Assumptions!$C$6)</f>
        <v>5.2749162940349</v>
      </c>
      <c r="H25" s="20" t="n">
        <f aca="false">H21/(H29/Assumptions!$C$6)</f>
        <v>5.78204606959809</v>
      </c>
      <c r="I25" s="20" t="n">
        <f aca="false">I21/(I29/Assumptions!$C$6)</f>
        <v>7.48139039485737</v>
      </c>
      <c r="J25" s="20" t="n">
        <f aca="false">J21/(J29/Assumptions!$C$6)</f>
        <v>9.32928694202402</v>
      </c>
      <c r="K25" s="20" t="n">
        <f aca="false">K21/(K29/Assumptions!$C$6)</f>
        <v>11.1167186940118</v>
      </c>
      <c r="L25" s="20" t="n">
        <f aca="false">L21/(L29/Assumptions!$C$6)</f>
        <v>13.014407978615</v>
      </c>
    </row>
    <row r="26" customFormat="false" ht="15" hidden="false" customHeight="false" outlineLevel="0" collapsed="false">
      <c r="A26" s="4" t="s">
        <v>286</v>
      </c>
      <c r="C26" s="16" t="n">
        <f aca="false">ROUND(C21-PL!C33,2)</f>
        <v>0</v>
      </c>
      <c r="D26" s="16" t="n">
        <f aca="false">ROUND(D21-PL!D33,2)</f>
        <v>0</v>
      </c>
      <c r="E26" s="16" t="n">
        <f aca="false">ROUND(E21-PL!E33,2)</f>
        <v>0</v>
      </c>
      <c r="F26" s="16" t="n">
        <f aca="false">ROUND(F21-PL!F33,2)</f>
        <v>0</v>
      </c>
      <c r="G26" s="16" t="n">
        <f aca="false">ROUND(G21-PL!G33,2)</f>
        <v>0</v>
      </c>
    </row>
    <row r="28" customFormat="false" ht="15" hidden="false" customHeight="false" outlineLevel="0" collapsed="false">
      <c r="A28" s="11" t="s">
        <v>287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15" hidden="false" customHeight="false" outlineLevel="0" collapsed="false">
      <c r="A29" s="4" t="s">
        <v>49</v>
      </c>
      <c r="C29" s="35" t="n">
        <f aca="false">BS!C6</f>
        <v>4130.53</v>
      </c>
      <c r="D29" s="35" t="n">
        <f aca="false">BS!D6</f>
        <v>4130.53</v>
      </c>
      <c r="E29" s="35" t="n">
        <f aca="false">BS!E6</f>
        <v>4130.53</v>
      </c>
      <c r="F29" s="35" t="n">
        <f aca="false">BS!F6</f>
        <v>4130.53</v>
      </c>
      <c r="G29" s="35" t="n">
        <f aca="false">BS!G6</f>
        <v>4130.53</v>
      </c>
      <c r="H29" s="35" t="n">
        <f aca="false">G29</f>
        <v>4130.53</v>
      </c>
      <c r="I29" s="35" t="n">
        <f aca="false">H29</f>
        <v>4130.53</v>
      </c>
      <c r="J29" s="35" t="n">
        <f aca="false">I29</f>
        <v>4130.53</v>
      </c>
      <c r="K29" s="35" t="n">
        <f aca="false">J29</f>
        <v>4130.53</v>
      </c>
      <c r="L29" s="35" t="n">
        <f aca="false">K29</f>
        <v>4130.53</v>
      </c>
    </row>
    <row r="30" customFormat="false" ht="15" hidden="false" customHeight="false" outlineLevel="0" collapsed="false">
      <c r="A30" s="4" t="s">
        <v>50</v>
      </c>
      <c r="C30" s="35" t="n">
        <f aca="false">BS!C7</f>
        <v>39374.25</v>
      </c>
      <c r="D30" s="35" t="n">
        <f aca="false">BS!D7</f>
        <v>35065.37</v>
      </c>
      <c r="E30" s="35" t="n">
        <f aca="false">BS!E7</f>
        <v>31878.53</v>
      </c>
      <c r="F30" s="35" t="n">
        <f aca="false">BS!F7</f>
        <v>31583.14</v>
      </c>
      <c r="G30" s="35" t="n">
        <f aca="false">BS!G7</f>
        <v>34021.04</v>
      </c>
      <c r="H30" s="35" t="n">
        <f aca="false">G30+H21-H23-H24</f>
        <v>36121.3990549373</v>
      </c>
      <c r="I30" s="35" t="n">
        <f aca="false">H30+I21-I23-I24</f>
        <v>38748.0781896893</v>
      </c>
      <c r="J30" s="35" t="n">
        <f aca="false">I30+J21-J23-J24</f>
        <v>41830.8701571004</v>
      </c>
      <c r="K30" s="35" t="n">
        <f aca="false">J30+K21-K23-K24</f>
        <v>45504.3053624745</v>
      </c>
      <c r="L30" s="35" t="n">
        <f aca="false">K30+L21-L23-L24</f>
        <v>49804.8175695072</v>
      </c>
    </row>
    <row r="31" customFormat="false" ht="15" hidden="false" customHeight="false" outlineLevel="0" collapsed="false">
      <c r="A31" s="13" t="s">
        <v>51</v>
      </c>
      <c r="B31" s="14"/>
      <c r="C31" s="38" t="n">
        <f aca="false">C29+C30</f>
        <v>43504.78</v>
      </c>
      <c r="D31" s="38" t="n">
        <f aca="false">D29+D30</f>
        <v>39195.9</v>
      </c>
      <c r="E31" s="38" t="n">
        <f aca="false">E29+E30</f>
        <v>36009.06</v>
      </c>
      <c r="F31" s="38" t="n">
        <f aca="false">F29+F30</f>
        <v>35713.67</v>
      </c>
      <c r="G31" s="38" t="n">
        <f aca="false">G29+G30</f>
        <v>38151.57</v>
      </c>
      <c r="H31" s="38" t="n">
        <f aca="false">H29+H30</f>
        <v>40251.9290549373</v>
      </c>
      <c r="I31" s="38" t="n">
        <f aca="false">I29+I30</f>
        <v>42878.6081896893</v>
      </c>
      <c r="J31" s="38" t="n">
        <f aca="false">J29+J30</f>
        <v>45961.4001571004</v>
      </c>
      <c r="K31" s="38" t="n">
        <f aca="false">K29+K30</f>
        <v>49634.8353624745</v>
      </c>
      <c r="L31" s="38" t="n">
        <f aca="false">L29+L30</f>
        <v>53935.3475695072</v>
      </c>
    </row>
    <row r="32" customFormat="false" ht="15" hidden="false" customHeight="false" outlineLevel="0" collapsed="false">
      <c r="A32" s="4" t="s">
        <v>53</v>
      </c>
      <c r="C32" s="35" t="n">
        <f aca="false">BS!C10</f>
        <v>14025.56</v>
      </c>
      <c r="D32" s="35" t="n">
        <f aca="false">BS!D10</f>
        <v>17495.71</v>
      </c>
      <c r="E32" s="35" t="n">
        <f aca="false">BS!E10</f>
        <v>19087.48</v>
      </c>
      <c r="F32" s="35" t="n">
        <f aca="false">BS!F10</f>
        <v>29777.16</v>
      </c>
      <c r="G32" s="35" t="n">
        <f aca="false">BS!G10</f>
        <v>30802.66</v>
      </c>
      <c r="H32" s="35" t="n">
        <f aca="false">G32+Assumptions!H28-Assumptions!H29</f>
        <v>29302.66</v>
      </c>
      <c r="I32" s="35" t="n">
        <f aca="false">H32+Assumptions!I28-Assumptions!I29</f>
        <v>27802.66</v>
      </c>
      <c r="J32" s="35" t="n">
        <f aca="false">I32+Assumptions!J28-Assumptions!J29</f>
        <v>26302.66</v>
      </c>
      <c r="K32" s="35" t="n">
        <f aca="false">J32+Assumptions!K28-Assumptions!K29</f>
        <v>24802.66</v>
      </c>
      <c r="L32" s="35" t="n">
        <f aca="false">K32+Assumptions!L28-Assumptions!L29</f>
        <v>23302.66</v>
      </c>
    </row>
    <row r="33" customFormat="false" ht="15" hidden="false" customHeight="false" outlineLevel="0" collapsed="false">
      <c r="A33" s="4" t="s">
        <v>54</v>
      </c>
      <c r="C33" s="35" t="n">
        <f aca="false">BS!C11</f>
        <v>2395.19</v>
      </c>
      <c r="D33" s="35" t="n">
        <f aca="false">BS!D11</f>
        <v>0</v>
      </c>
      <c r="E33" s="35" t="n">
        <f aca="false">BS!E11</f>
        <v>0</v>
      </c>
      <c r="F33" s="35" t="n">
        <f aca="false">BS!F11</f>
        <v>0</v>
      </c>
      <c r="G33" s="35" t="n">
        <f aca="false">BS!G11</f>
        <v>0</v>
      </c>
      <c r="H33" s="35" t="n">
        <f aca="false">G33</f>
        <v>0</v>
      </c>
      <c r="I33" s="35" t="n">
        <f aca="false">H33</f>
        <v>0</v>
      </c>
      <c r="J33" s="35" t="n">
        <f aca="false">I33</f>
        <v>0</v>
      </c>
      <c r="K33" s="35" t="n">
        <f aca="false">J33</f>
        <v>0</v>
      </c>
      <c r="L33" s="35" t="n">
        <f aca="false">K33</f>
        <v>0</v>
      </c>
    </row>
    <row r="34" customFormat="false" ht="15" hidden="false" customHeight="false" outlineLevel="0" collapsed="false">
      <c r="A34" s="4" t="s">
        <v>55</v>
      </c>
      <c r="C34" s="35" t="n">
        <f aca="false">BS!C12</f>
        <v>1239.22</v>
      </c>
      <c r="D34" s="35" t="n">
        <f aca="false">BS!D12</f>
        <v>1692.13</v>
      </c>
      <c r="E34" s="35" t="n">
        <f aca="false">BS!E12</f>
        <v>1524.58</v>
      </c>
      <c r="F34" s="35" t="n">
        <f aca="false">BS!F12</f>
        <v>1324.07</v>
      </c>
      <c r="G34" s="35" t="n">
        <f aca="false">BS!G12</f>
        <v>1590.63</v>
      </c>
      <c r="H34" s="35" t="n">
        <f aca="false">G34</f>
        <v>1590.63</v>
      </c>
      <c r="I34" s="35" t="n">
        <f aca="false">H34</f>
        <v>1590.63</v>
      </c>
      <c r="J34" s="35" t="n">
        <f aca="false">I34</f>
        <v>1590.63</v>
      </c>
      <c r="K34" s="35" t="n">
        <f aca="false">J34</f>
        <v>1590.63</v>
      </c>
      <c r="L34" s="35" t="n">
        <f aca="false">K34</f>
        <v>1590.63</v>
      </c>
    </row>
    <row r="35" customFormat="false" ht="15" hidden="false" customHeight="false" outlineLevel="0" collapsed="false">
      <c r="A35" s="4" t="s">
        <v>56</v>
      </c>
      <c r="C35" s="35" t="n">
        <f aca="false">BS!C13</f>
        <v>3705.34</v>
      </c>
      <c r="D35" s="35" t="n">
        <f aca="false">BS!D13</f>
        <v>3271.65</v>
      </c>
      <c r="E35" s="35" t="n">
        <f aca="false">BS!E13</f>
        <v>3593.94</v>
      </c>
      <c r="F35" s="35" t="n">
        <f aca="false">BS!F13</f>
        <v>3973.28</v>
      </c>
      <c r="G35" s="35" t="n">
        <f aca="false">BS!G13</f>
        <v>4295.41</v>
      </c>
      <c r="H35" s="35" t="n">
        <f aca="false">G35</f>
        <v>4295.41</v>
      </c>
      <c r="I35" s="35" t="n">
        <f aca="false">H35</f>
        <v>4295.41</v>
      </c>
      <c r="J35" s="35" t="n">
        <f aca="false">I35</f>
        <v>4295.41</v>
      </c>
      <c r="K35" s="35" t="n">
        <f aca="false">J35</f>
        <v>4295.41</v>
      </c>
      <c r="L35" s="35" t="n">
        <f aca="false">K35</f>
        <v>4295.41</v>
      </c>
    </row>
    <row r="36" customFormat="false" ht="15" hidden="false" customHeight="false" outlineLevel="0" collapsed="false">
      <c r="A36" s="4" t="s">
        <v>59</v>
      </c>
      <c r="C36" s="35" t="n">
        <f aca="false">BS!C16</f>
        <v>14195.16</v>
      </c>
      <c r="D36" s="35" t="n">
        <f aca="false">BS!D16</f>
        <v>15574.86</v>
      </c>
      <c r="E36" s="35" t="n">
        <f aca="false">BS!E16</f>
        <v>19813.04</v>
      </c>
      <c r="F36" s="35" t="n">
        <f aca="false">BS!F16</f>
        <v>12244.32</v>
      </c>
      <c r="G36" s="35" t="n">
        <f aca="false">BS!G16</f>
        <v>10631.22</v>
      </c>
      <c r="H36" s="35" t="n">
        <f aca="false">G36+Assumptions!H30</f>
        <v>10631.22</v>
      </c>
      <c r="I36" s="35" t="n">
        <f aca="false">H36+Assumptions!I30</f>
        <v>10631.22</v>
      </c>
      <c r="J36" s="35" t="n">
        <f aca="false">I36+Assumptions!J30</f>
        <v>10631.22</v>
      </c>
      <c r="K36" s="35" t="n">
        <f aca="false">J36+Assumptions!K30</f>
        <v>10631.22</v>
      </c>
      <c r="L36" s="35" t="n">
        <f aca="false">K36+Assumptions!L30</f>
        <v>10631.22</v>
      </c>
    </row>
    <row r="37" customFormat="false" ht="15" hidden="false" customHeight="false" outlineLevel="0" collapsed="false">
      <c r="A37" s="4" t="s">
        <v>60</v>
      </c>
      <c r="C37" s="35" t="n">
        <f aca="false">BS!C17</f>
        <v>3606.38</v>
      </c>
      <c r="D37" s="35" t="n">
        <f aca="false">BS!D17</f>
        <v>4002.71</v>
      </c>
      <c r="E37" s="35" t="n">
        <f aca="false">BS!E17</f>
        <v>5219.2</v>
      </c>
      <c r="F37" s="35" t="n">
        <f aca="false">BS!F17</f>
        <v>7540.5</v>
      </c>
      <c r="G37" s="35" t="n">
        <f aca="false">BS!G17</f>
        <v>7257.99</v>
      </c>
      <c r="H37" s="35" t="n">
        <f aca="false">H6*Assumptions!H23/365</f>
        <v>7705.8274520548</v>
      </c>
      <c r="I37" s="35" t="n">
        <f aca="false">I6*Assumptions!I23/365</f>
        <v>8245.23537369863</v>
      </c>
      <c r="J37" s="35" t="n">
        <f aca="false">J6*Assumptions!J23/365</f>
        <v>8822.40184985754</v>
      </c>
      <c r="K37" s="35" t="n">
        <f aca="false">K6*Assumptions!K23/365</f>
        <v>9351.74596084899</v>
      </c>
      <c r="L37" s="35" t="n">
        <f aca="false">L6*Assumptions!L23/365</f>
        <v>9912.85071849993</v>
      </c>
    </row>
    <row r="38" customFormat="false" ht="15" hidden="false" customHeight="false" outlineLevel="0" collapsed="false">
      <c r="A38" s="4" t="s">
        <v>61</v>
      </c>
      <c r="C38" s="35" t="n">
        <f aca="false">BS!C18</f>
        <v>14016.53</v>
      </c>
      <c r="D38" s="35" t="n">
        <f aca="false">BS!D18</f>
        <v>16464.66</v>
      </c>
      <c r="E38" s="35" t="n">
        <f aca="false">BS!E18</f>
        <v>18377.4</v>
      </c>
      <c r="F38" s="35" t="n">
        <f aca="false">BS!F18</f>
        <v>21312.62</v>
      </c>
      <c r="G38" s="35" t="n">
        <f aca="false">BS!G18</f>
        <v>21399.48</v>
      </c>
      <c r="H38" s="35" t="n">
        <f aca="false">H6*Assumptions!H25</f>
        <v>22501.01616</v>
      </c>
      <c r="I38" s="35" t="n">
        <f aca="false">I6*Assumptions!I25</f>
        <v>24076.0872912</v>
      </c>
      <c r="J38" s="35" t="n">
        <f aca="false">J6*Assumptions!J25</f>
        <v>25761.413401584</v>
      </c>
      <c r="K38" s="35" t="n">
        <f aca="false">K6*Assumptions!K25</f>
        <v>27307.0982056791</v>
      </c>
      <c r="L38" s="35" t="n">
        <f aca="false">L6*Assumptions!L25</f>
        <v>28945.5240980198</v>
      </c>
    </row>
    <row r="39" customFormat="false" ht="15" hidden="false" customHeight="false" outlineLevel="0" collapsed="false">
      <c r="A39" s="4" t="s">
        <v>62</v>
      </c>
      <c r="C39" s="35" t="n">
        <f aca="false">BS!C19</f>
        <v>2638.71</v>
      </c>
      <c r="D39" s="35" t="n">
        <f aca="false">BS!D19</f>
        <v>2642.65</v>
      </c>
      <c r="E39" s="35" t="n">
        <f aca="false">BS!E19</f>
        <v>2914.77</v>
      </c>
      <c r="F39" s="35" t="n">
        <f aca="false">BS!F19</f>
        <v>2304.18</v>
      </c>
      <c r="G39" s="35" t="n">
        <f aca="false">BS!G19</f>
        <v>2308.77</v>
      </c>
      <c r="H39" s="35" t="n">
        <f aca="false">G39</f>
        <v>2308.77</v>
      </c>
      <c r="I39" s="35" t="n">
        <f aca="false">H39</f>
        <v>2308.77</v>
      </c>
      <c r="J39" s="35" t="n">
        <f aca="false">I39</f>
        <v>2308.77</v>
      </c>
      <c r="K39" s="35" t="n">
        <f aca="false">J39</f>
        <v>2308.77</v>
      </c>
      <c r="L39" s="35" t="n">
        <f aca="false">K39</f>
        <v>2308.77</v>
      </c>
    </row>
    <row r="40" customFormat="false" ht="15" hidden="false" customHeight="false" outlineLevel="0" collapsed="false">
      <c r="A40" s="13" t="s">
        <v>64</v>
      </c>
      <c r="B40" s="14"/>
      <c r="C40" s="38" t="n">
        <f aca="false">C31+C32+C33+C34+C35+C36+C37+C38+C39</f>
        <v>99326.87</v>
      </c>
      <c r="D40" s="38" t="n">
        <f aca="false">D31+D32+D33+D34+D35+D36+D37+D38+D39</f>
        <v>100340.27</v>
      </c>
      <c r="E40" s="38" t="n">
        <f aca="false">E31+E32+E33+E34+E35+E36+E37+E38+E39</f>
        <v>106539.47</v>
      </c>
      <c r="F40" s="38" t="n">
        <f aca="false">F31+F32+F33+F34+F35+F36+F37+F38+F39</f>
        <v>114189.8</v>
      </c>
      <c r="G40" s="38" t="n">
        <f aca="false">G31+G32+G33+G34+G35+G36+G37+G38+G39</f>
        <v>116437.73</v>
      </c>
      <c r="H40" s="38" t="n">
        <f aca="false">H31+H32+H33+H34+H35+H36+H37+H38+H39</f>
        <v>118587.462666992</v>
      </c>
      <c r="I40" s="38" t="n">
        <f aca="false">I31+I32+I33+I34+I35+I36+I37+I38+I39</f>
        <v>121828.620854588</v>
      </c>
      <c r="J40" s="38" t="n">
        <f aca="false">J31+J32+J33+J34+J35+J36+J37+J38+J39</f>
        <v>125673.905408542</v>
      </c>
      <c r="K40" s="38" t="n">
        <f aca="false">K31+K32+K33+K34+K35+K36+K37+K38+K39</f>
        <v>129922.369529003</v>
      </c>
      <c r="L40" s="38" t="n">
        <f aca="false">L31+L32+L33+L34+L35+L36+L37+L38+L39</f>
        <v>134922.412386027</v>
      </c>
    </row>
    <row r="41" customFormat="false" ht="15" hidden="false" customHeight="false" outlineLevel="0" collapsed="false">
      <c r="A41" s="4" t="s">
        <v>288</v>
      </c>
      <c r="C41" s="35" t="n">
        <f aca="false">BS!C28</f>
        <v>65364.43</v>
      </c>
      <c r="D41" s="35" t="n">
        <f aca="false">BS!D28</f>
        <v>70853.17</v>
      </c>
      <c r="E41" s="35" t="n">
        <f aca="false">BS!E28</f>
        <v>73560.86</v>
      </c>
      <c r="F41" s="35" t="n">
        <f aca="false">BS!F28</f>
        <v>77006.98</v>
      </c>
      <c r="G41" s="35" t="n">
        <f aca="false">BS!G28</f>
        <v>77372.71</v>
      </c>
      <c r="H41" s="35" t="n">
        <f aca="false">G41+Assumptions!H27-H13</f>
        <v>77468.31076</v>
      </c>
      <c r="I41" s="35" t="n">
        <f aca="false">H41+Assumptions!I27-I13</f>
        <v>77259.70508656</v>
      </c>
      <c r="J41" s="35" t="n">
        <f aca="false">I41+Assumptions!J27-J13</f>
        <v>76860.2780627513</v>
      </c>
      <c r="K41" s="35" t="n">
        <f aca="false">J41+Assumptions!K27-K13</f>
        <v>76478.4258279903</v>
      </c>
      <c r="L41" s="35" t="n">
        <f aca="false">K41+Assumptions!L27-L13</f>
        <v>76113.3750915587</v>
      </c>
    </row>
    <row r="42" customFormat="false" ht="15" hidden="false" customHeight="false" outlineLevel="0" collapsed="false">
      <c r="A42" s="4" t="s">
        <v>71</v>
      </c>
      <c r="C42" s="35" t="n">
        <f aca="false">BS!C29</f>
        <v>919.07</v>
      </c>
      <c r="D42" s="35" t="n">
        <f aca="false">BS!D29</f>
        <v>1291.75</v>
      </c>
      <c r="E42" s="35" t="n">
        <f aca="false">BS!E29</f>
        <v>1395.48</v>
      </c>
      <c r="F42" s="35" t="n">
        <f aca="false">BS!F29</f>
        <v>1491.3</v>
      </c>
      <c r="G42" s="35" t="n">
        <f aca="false">BS!G29</f>
        <v>1584.75</v>
      </c>
      <c r="H42" s="35" t="n">
        <f aca="false">G42</f>
        <v>1584.75</v>
      </c>
      <c r="I42" s="35" t="n">
        <f aca="false">H42</f>
        <v>1584.75</v>
      </c>
      <c r="J42" s="35" t="n">
        <f aca="false">I42</f>
        <v>1584.75</v>
      </c>
      <c r="K42" s="35" t="n">
        <f aca="false">J42</f>
        <v>1584.75</v>
      </c>
      <c r="L42" s="35" t="n">
        <f aca="false">K42</f>
        <v>1584.75</v>
      </c>
    </row>
    <row r="43" customFormat="false" ht="15" hidden="false" customHeight="false" outlineLevel="0" collapsed="false">
      <c r="A43" s="4" t="s">
        <v>72</v>
      </c>
      <c r="C43" s="35" t="n">
        <f aca="false">BS!C30</f>
        <v>0</v>
      </c>
      <c r="D43" s="35" t="n">
        <f aca="false">BS!D30</f>
        <v>1799.8</v>
      </c>
      <c r="E43" s="35" t="n">
        <f aca="false">BS!E30</f>
        <v>4005.84</v>
      </c>
      <c r="F43" s="35" t="n">
        <f aca="false">BS!F30</f>
        <v>4185.27</v>
      </c>
      <c r="G43" s="35" t="n">
        <f aca="false">BS!G30</f>
        <v>2898.38</v>
      </c>
      <c r="H43" s="35" t="n">
        <f aca="false">G43</f>
        <v>2898.38</v>
      </c>
      <c r="I43" s="35" t="n">
        <f aca="false">H43</f>
        <v>2898.38</v>
      </c>
      <c r="J43" s="35" t="n">
        <f aca="false">I43</f>
        <v>2898.38</v>
      </c>
      <c r="K43" s="35" t="n">
        <f aca="false">J43</f>
        <v>2898.38</v>
      </c>
      <c r="L43" s="35" t="n">
        <f aca="false">K43</f>
        <v>2898.38</v>
      </c>
    </row>
    <row r="44" customFormat="false" ht="15" hidden="false" customHeight="false" outlineLevel="0" collapsed="false">
      <c r="A44" s="4" t="s">
        <v>73</v>
      </c>
      <c r="C44" s="35" t="n">
        <f aca="false">BS!C31</f>
        <v>4507.25</v>
      </c>
      <c r="D44" s="35" t="n">
        <f aca="false">BS!D31</f>
        <v>449.95</v>
      </c>
      <c r="E44" s="35" t="n">
        <f aca="false">BS!E31</f>
        <v>453.52</v>
      </c>
      <c r="F44" s="35" t="n">
        <f aca="false">BS!F31</f>
        <v>451.46</v>
      </c>
      <c r="G44" s="35" t="n">
        <f aca="false">BS!G31</f>
        <v>563.98</v>
      </c>
      <c r="H44" s="35" t="n">
        <f aca="false">G44</f>
        <v>563.98</v>
      </c>
      <c r="I44" s="35" t="n">
        <f aca="false">H44</f>
        <v>563.98</v>
      </c>
      <c r="J44" s="35" t="n">
        <f aca="false">I44</f>
        <v>563.98</v>
      </c>
      <c r="K44" s="35" t="n">
        <f aca="false">J44</f>
        <v>563.98</v>
      </c>
      <c r="L44" s="35" t="n">
        <f aca="false">K44</f>
        <v>563.98</v>
      </c>
    </row>
    <row r="45" customFormat="false" ht="15" hidden="false" customHeight="false" outlineLevel="0" collapsed="false">
      <c r="A45" s="4" t="s">
        <v>74</v>
      </c>
      <c r="C45" s="35" t="n">
        <f aca="false">BS!C32</f>
        <v>53.83</v>
      </c>
      <c r="D45" s="35" t="n">
        <f aca="false">BS!D32</f>
        <v>1746.95</v>
      </c>
      <c r="E45" s="35" t="n">
        <f aca="false">BS!E32</f>
        <v>1578.35</v>
      </c>
      <c r="F45" s="35" t="n">
        <f aca="false">BS!F32</f>
        <v>1416.59</v>
      </c>
      <c r="G45" s="35" t="n">
        <f aca="false">BS!G32</f>
        <v>1768.64</v>
      </c>
      <c r="H45" s="35" t="n">
        <f aca="false">G45</f>
        <v>1768.64</v>
      </c>
      <c r="I45" s="35" t="n">
        <f aca="false">H45</f>
        <v>1768.64</v>
      </c>
      <c r="J45" s="35" t="n">
        <f aca="false">I45</f>
        <v>1768.64</v>
      </c>
      <c r="K45" s="35" t="n">
        <f aca="false">J45</f>
        <v>1768.64</v>
      </c>
      <c r="L45" s="35" t="n">
        <f aca="false">K45</f>
        <v>1768.64</v>
      </c>
    </row>
    <row r="46" customFormat="false" ht="15" hidden="false" customHeight="false" outlineLevel="0" collapsed="false">
      <c r="A46" s="4" t="s">
        <v>76</v>
      </c>
      <c r="C46" s="35" t="n">
        <f aca="false">BS!C34</f>
        <v>17736.37</v>
      </c>
      <c r="D46" s="35" t="n">
        <f aca="false">BS!D34</f>
        <v>14679.53</v>
      </c>
      <c r="E46" s="35" t="n">
        <f aca="false">BS!E34</f>
        <v>15711.35</v>
      </c>
      <c r="F46" s="35" t="n">
        <f aca="false">BS!F34</f>
        <v>16996.67</v>
      </c>
      <c r="G46" s="35" t="n">
        <f aca="false">BS!G34</f>
        <v>19441.8</v>
      </c>
      <c r="H46" s="35" t="n">
        <f aca="false">H6*Assumptions!H21/365</f>
        <v>20227.7970616438</v>
      </c>
      <c r="I46" s="35" t="n">
        <f aca="false">I6*Assumptions!I21/365</f>
        <v>21643.7428559589</v>
      </c>
      <c r="J46" s="35" t="n">
        <f aca="false">J6*Assumptions!J21/365</f>
        <v>23158.804855876</v>
      </c>
      <c r="K46" s="35" t="n">
        <f aca="false">K6*Assumptions!K21/365</f>
        <v>24548.3331472286</v>
      </c>
      <c r="L46" s="35" t="n">
        <f aca="false">L6*Assumptions!L21/365</f>
        <v>26021.2331360623</v>
      </c>
    </row>
    <row r="47" customFormat="false" ht="15" hidden="false" customHeight="false" outlineLevel="0" collapsed="false">
      <c r="A47" s="4" t="s">
        <v>77</v>
      </c>
      <c r="C47" s="35" t="n">
        <f aca="false">BS!C35</f>
        <v>3192</v>
      </c>
      <c r="D47" s="35" t="n">
        <f aca="false">BS!D35</f>
        <v>3143.49</v>
      </c>
      <c r="E47" s="35" t="n">
        <f aca="false">BS!E35</f>
        <v>2921.69</v>
      </c>
      <c r="F47" s="35" t="n">
        <f aca="false">BS!F35</f>
        <v>3869.94</v>
      </c>
      <c r="G47" s="35" t="n">
        <f aca="false">BS!G35</f>
        <v>4495.05</v>
      </c>
      <c r="H47" s="35" t="n">
        <f aca="false">H6*Assumptions!H22/365</f>
        <v>4623.49647123288</v>
      </c>
      <c r="I47" s="35" t="n">
        <f aca="false">I6*Assumptions!I22/365</f>
        <v>4947.14122421918</v>
      </c>
      <c r="J47" s="35" t="n">
        <f aca="false">J6*Assumptions!J22/365</f>
        <v>5293.44110991452</v>
      </c>
      <c r="K47" s="35" t="n">
        <f aca="false">K6*Assumptions!K22/365</f>
        <v>5611.04757650939</v>
      </c>
      <c r="L47" s="35" t="n">
        <f aca="false">L6*Assumptions!L22/365</f>
        <v>5947.71043109996</v>
      </c>
    </row>
    <row r="48" customFormat="false" ht="15" hidden="false" customHeight="false" outlineLevel="0" collapsed="false">
      <c r="A48" s="4" t="s">
        <v>78</v>
      </c>
      <c r="C48" s="35" t="n">
        <f aca="false">BS!C36</f>
        <v>2305.24</v>
      </c>
      <c r="D48" s="35" t="n">
        <f aca="false">BS!D36</f>
        <v>297.96</v>
      </c>
      <c r="E48" s="35" t="n">
        <f aca="false">BS!E36</f>
        <v>289.09</v>
      </c>
      <c r="F48" s="35" t="n">
        <f aca="false">BS!F36</f>
        <v>254.06</v>
      </c>
      <c r="G48" s="35" t="n">
        <f aca="false">BS!G36</f>
        <v>219.42</v>
      </c>
      <c r="H48" s="35" t="n">
        <f aca="false">H70</f>
        <v>960.987314115394</v>
      </c>
      <c r="I48" s="35" t="n">
        <f aca="false">I70</f>
        <v>2080.50895364982</v>
      </c>
      <c r="J48" s="35" t="n">
        <f aca="false">J70</f>
        <v>3831.86135440598</v>
      </c>
      <c r="K48" s="35" t="n">
        <f aca="false">K70</f>
        <v>6175.41115014456</v>
      </c>
      <c r="L48" s="35" t="n">
        <f aca="false">L70</f>
        <v>9116.53219054846</v>
      </c>
    </row>
    <row r="49" customFormat="false" ht="15" hidden="false" customHeight="false" outlineLevel="0" collapsed="false">
      <c r="A49" s="4" t="s">
        <v>79</v>
      </c>
      <c r="C49" s="35" t="n">
        <f aca="false">BS!C37</f>
        <v>3056.33</v>
      </c>
      <c r="D49" s="35" t="n">
        <f aca="false">BS!D37</f>
        <v>64.09</v>
      </c>
      <c r="E49" s="35" t="n">
        <f aca="false">BS!E37</f>
        <v>61.47</v>
      </c>
      <c r="F49" s="35" t="n">
        <f aca="false">BS!F37</f>
        <v>63.41</v>
      </c>
      <c r="G49" s="35" t="n">
        <f aca="false">BS!G37</f>
        <v>53.24</v>
      </c>
      <c r="H49" s="35" t="n">
        <f aca="false">G49</f>
        <v>53.24</v>
      </c>
      <c r="I49" s="35" t="n">
        <f aca="false">H49</f>
        <v>53.24</v>
      </c>
      <c r="J49" s="35" t="n">
        <f aca="false">I49</f>
        <v>53.24</v>
      </c>
      <c r="K49" s="35" t="n">
        <f aca="false">J49</f>
        <v>53.24</v>
      </c>
      <c r="L49" s="35" t="n">
        <f aca="false">K49</f>
        <v>53.24</v>
      </c>
    </row>
    <row r="50" customFormat="false" ht="15" hidden="false" customHeight="false" outlineLevel="0" collapsed="false">
      <c r="A50" s="4" t="s">
        <v>80</v>
      </c>
      <c r="C50" s="35" t="n">
        <f aca="false">BS!C38</f>
        <v>2192.35</v>
      </c>
      <c r="D50" s="35" t="n">
        <f aca="false">BS!D38</f>
        <v>6013.58</v>
      </c>
      <c r="E50" s="35" t="n">
        <f aca="false">BS!E38</f>
        <v>6561.82</v>
      </c>
      <c r="F50" s="35" t="n">
        <f aca="false">BS!F38</f>
        <v>8454.12</v>
      </c>
      <c r="G50" s="35" t="n">
        <f aca="false">BS!G38</f>
        <v>8039.76</v>
      </c>
      <c r="H50" s="35" t="n">
        <f aca="false">H6*Assumptions!H24</f>
        <v>8437.88106</v>
      </c>
      <c r="I50" s="35" t="n">
        <f aca="false">I6*Assumptions!I24</f>
        <v>9028.5327342</v>
      </c>
      <c r="J50" s="35" t="n">
        <f aca="false">J6*Assumptions!J24</f>
        <v>9660.530025594</v>
      </c>
      <c r="K50" s="35" t="n">
        <f aca="false">K6*Assumptions!K24</f>
        <v>10240.1618271296</v>
      </c>
      <c r="L50" s="35" t="n">
        <f aca="false">L6*Assumptions!L24</f>
        <v>10854.5715367574</v>
      </c>
    </row>
    <row r="51" customFormat="false" ht="15" hidden="false" customHeight="false" outlineLevel="0" collapsed="false">
      <c r="A51" s="13" t="s">
        <v>82</v>
      </c>
      <c r="B51" s="14"/>
      <c r="C51" s="38" t="n">
        <f aca="false">C41+C42+C43+C44+C45+C46+C47+C48+C49+C50</f>
        <v>99326.87</v>
      </c>
      <c r="D51" s="38" t="n">
        <f aca="false">D41+D42+D43+D44+D45+D46+D47+D48+D49+D50</f>
        <v>100340.27</v>
      </c>
      <c r="E51" s="38" t="n">
        <f aca="false">E41+E42+E43+E44+E45+E46+E47+E48+E49+E50</f>
        <v>106539.47</v>
      </c>
      <c r="F51" s="38" t="n">
        <f aca="false">F41+F42+F43+F44+F45+F46+F47+F48+F49+F50</f>
        <v>114189.8</v>
      </c>
      <c r="G51" s="38" t="n">
        <f aca="false">G41+G42+G43+G44+G45+G46+G47+G48+G49+G50</f>
        <v>116437.73</v>
      </c>
      <c r="H51" s="38" t="n">
        <f aca="false">H41+H42+H43+H44+H45+H46+H47+H48+H49+H50</f>
        <v>118587.462666992</v>
      </c>
      <c r="I51" s="38" t="n">
        <f aca="false">I41+I42+I43+I44+I45+I46+I47+I48+I49+I50</f>
        <v>121828.620854588</v>
      </c>
      <c r="J51" s="38" t="n">
        <f aca="false">J41+J42+J43+J44+J45+J46+J47+J48+J49+J50</f>
        <v>125673.905408542</v>
      </c>
      <c r="K51" s="38" t="n">
        <f aca="false">K41+K42+K43+K44+K45+K46+K47+K48+K49+K50</f>
        <v>129922.369529002</v>
      </c>
      <c r="L51" s="38" t="n">
        <f aca="false">L41+L42+L43+L44+L45+L46+L47+L48+L49+L50</f>
        <v>134922.412386027</v>
      </c>
    </row>
    <row r="52" customFormat="false" ht="15" hidden="false" customHeight="false" outlineLevel="0" collapsed="false">
      <c r="A52" s="4" t="s">
        <v>83</v>
      </c>
      <c r="C52" s="16" t="n">
        <f aca="false">ROUND(C51-C40,2)</f>
        <v>0</v>
      </c>
      <c r="D52" s="16" t="n">
        <f aca="false">ROUND(D51-D40,2)</f>
        <v>0</v>
      </c>
      <c r="E52" s="16" t="n">
        <f aca="false">ROUND(E51-E40,2)</f>
        <v>0</v>
      </c>
      <c r="F52" s="16" t="n">
        <f aca="false">ROUND(F51-F40,2)</f>
        <v>0</v>
      </c>
      <c r="G52" s="16" t="n">
        <f aca="false">ROUND(G51-G40,2)</f>
        <v>0</v>
      </c>
      <c r="H52" s="16" t="n">
        <f aca="false">ROUND(H51-H40,2)</f>
        <v>0</v>
      </c>
      <c r="I52" s="16" t="n">
        <f aca="false">ROUND(I51-I40,2)</f>
        <v>0</v>
      </c>
      <c r="J52" s="16" t="n">
        <f aca="false">ROUND(J51-J40,2)</f>
        <v>0</v>
      </c>
      <c r="K52" s="16" t="n">
        <f aca="false">ROUND(K51-K40,2)</f>
        <v>0</v>
      </c>
      <c r="L52" s="16" t="n">
        <f aca="false">ROUND(L51-L40,2)</f>
        <v>0</v>
      </c>
    </row>
    <row r="54" customFormat="false" ht="15" hidden="false" customHeight="false" outlineLevel="0" collapsed="false">
      <c r="A54" s="11" t="s">
        <v>289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customFormat="false" ht="15" hidden="false" customHeight="false" outlineLevel="0" collapsed="false">
      <c r="A55" s="4" t="s">
        <v>282</v>
      </c>
      <c r="D55" s="35" t="n">
        <f aca="false">CashFlow!D6</f>
        <v>-4021.44</v>
      </c>
      <c r="E55" s="35" t="n">
        <f aca="false">CashFlow!E6</f>
        <v>-2833.24</v>
      </c>
      <c r="F55" s="35" t="n">
        <f aca="false">CashFlow!F6</f>
        <v>-481.710000000003</v>
      </c>
      <c r="G55" s="35" t="n">
        <f aca="false">CashFlow!G6</f>
        <v>2178.82</v>
      </c>
      <c r="H55" s="35" t="n">
        <f aca="false">H21</f>
        <v>2388.2914751857</v>
      </c>
      <c r="I55" s="35" t="n">
        <f aca="false">I21</f>
        <v>3090.21074676702</v>
      </c>
      <c r="J55" s="35" t="n">
        <f aca="false">J21</f>
        <v>3853.48995926385</v>
      </c>
      <c r="K55" s="35" t="n">
        <f aca="false">K21</f>
        <v>4591.79400671764</v>
      </c>
      <c r="L55" s="35" t="n">
        <f aca="false">L21</f>
        <v>5375.64025879087</v>
      </c>
    </row>
    <row r="56" customFormat="false" ht="15" hidden="false" customHeight="false" outlineLevel="0" collapsed="false">
      <c r="A56" s="4" t="s">
        <v>125</v>
      </c>
      <c r="D56" s="35" t="n">
        <f aca="false">CashFlow!D7</f>
        <v>2402.35</v>
      </c>
      <c r="E56" s="35" t="n">
        <f aca="false">CashFlow!E7</f>
        <v>2679.95</v>
      </c>
      <c r="F56" s="35" t="n">
        <f aca="false">CashFlow!F7</f>
        <v>3064.92</v>
      </c>
      <c r="G56" s="35" t="n">
        <f aca="false">CashFlow!G7</f>
        <v>3384.72</v>
      </c>
      <c r="H56" s="35" t="n">
        <f aca="false">H13</f>
        <v>3404.39924</v>
      </c>
      <c r="I56" s="35" t="n">
        <f aca="false">I13</f>
        <v>3408.60567344</v>
      </c>
      <c r="J56" s="35" t="n">
        <f aca="false">J13</f>
        <v>3399.42702380864</v>
      </c>
      <c r="K56" s="35" t="n">
        <f aca="false">K13</f>
        <v>3381.85223476106</v>
      </c>
      <c r="L56" s="35" t="n">
        <f aca="false">L13</f>
        <v>3365.05073643157</v>
      </c>
    </row>
    <row r="57" customFormat="false" ht="15" hidden="false" customHeight="false" outlineLevel="0" collapsed="false">
      <c r="A57" s="4" t="s">
        <v>290</v>
      </c>
      <c r="D57" s="35" t="n">
        <f aca="false">CashFlow!D8</f>
        <v>2300.45</v>
      </c>
      <c r="E57" s="35" t="n">
        <f aca="false">CashFlow!E8</f>
        <v>2527.82</v>
      </c>
      <c r="F57" s="35" t="n">
        <f aca="false">CashFlow!F8</f>
        <v>2822.75</v>
      </c>
      <c r="G57" s="35" t="n">
        <f aca="false">CashFlow!G8</f>
        <v>3154.92</v>
      </c>
      <c r="H57" s="35" t="n">
        <f aca="false">H16</f>
        <v>3107.541</v>
      </c>
      <c r="I57" s="35" t="n">
        <f aca="false">I16</f>
        <v>2995.041</v>
      </c>
      <c r="J57" s="35" t="n">
        <f aca="false">J16</f>
        <v>2882.541</v>
      </c>
      <c r="K57" s="35" t="n">
        <f aca="false">K16</f>
        <v>2770.041</v>
      </c>
      <c r="L57" s="35" t="n">
        <f aca="false">L16</f>
        <v>2657.541</v>
      </c>
    </row>
    <row r="58" customFormat="false" ht="15" hidden="false" customHeight="false" outlineLevel="0" collapsed="false">
      <c r="A58" s="4" t="s">
        <v>291</v>
      </c>
      <c r="D58" s="35" t="n">
        <f aca="false">CashFlow!D25-CashFlow!D6-CashFlow!D7-CashFlow!D8</f>
        <v>3150.01</v>
      </c>
      <c r="E58" s="35" t="n">
        <f aca="false">CashFlow!E25-CashFlow!E6-CashFlow!E7-CashFlow!E8</f>
        <v>-194.159999999999</v>
      </c>
      <c r="F58" s="35" t="n">
        <f aca="false">CashFlow!F25-CashFlow!F6-CashFlow!F7-CashFlow!F8</f>
        <v>867.660000000002</v>
      </c>
      <c r="G58" s="35" t="n">
        <f aca="false">CashFlow!G25-CashFlow!G6-CashFlow!G7-CashFlow!G8</f>
        <v>-1166.68</v>
      </c>
      <c r="H58" s="35" t="n">
        <f aca="false">-(H46-G46)-(H47-G47)-(H49-G49)-(H50-G50)-(H44-G44)-(H45-G45)-(H43-G43)+(H37-G37)+(H38-G38)+(H39-G39)+(H35-G35)+(H34-G34)+(H33-G33)</f>
        <v>236.809019178086</v>
      </c>
      <c r="I58" s="35" t="n">
        <f aca="false">-(I46-H46)-(I47-H47)-(I49-H49)-(I50-H50)-(I44-H44)-(I45-H45)-(I43-H43)+(I37-H37)+(I38-H38)+(I39-H39)+(I35-H35)+(I34-H34)+(I33-H33)</f>
        <v>-215.763168657537</v>
      </c>
      <c r="J58" s="35" t="n">
        <f aca="false">-(J46-I46)-(J47-I47)-(J49-I49)-(J50-I50)-(J44-I44)-(J45-I45)-(J43-I43)+(J37-I37)+(J38-I38)+(J39-I39)+(J35-I35)+(J34-I34)+(J33-I33)</f>
        <v>-230.866590463564</v>
      </c>
      <c r="K58" s="35" t="n">
        <f aca="false">-(K46-J46)-(K47-J47)-(K49-J49)-(K50-J50)-(K44-J44)-(K45-J45)-(K43-J43)+(K37-J37)+(K38-J38)+(K39-J39)+(K35-J35)+(K34-J34)+(K33-J33)</f>
        <v>-211.73764439658</v>
      </c>
      <c r="L58" s="35" t="n">
        <f aca="false">-(L46-K46)-(L47-K47)-(L49-K49)-(L50-K50)-(L44-K44)-(L45-K45)-(L43-K43)+(L37-K37)+(L38-K38)+(L39-K39)+(L35-K35)+(L34-K34)+(L33-K33)</f>
        <v>-224.441903060376</v>
      </c>
    </row>
    <row r="59" customFormat="false" ht="15" hidden="false" customHeight="false" outlineLevel="0" collapsed="false">
      <c r="A59" s="13" t="s">
        <v>292</v>
      </c>
      <c r="B59" s="14"/>
      <c r="D59" s="38" t="n">
        <f aca="false">D55+D56+D57+D58</f>
        <v>3831.37</v>
      </c>
      <c r="E59" s="38" t="n">
        <f aca="false">E55+E56+E57+E58</f>
        <v>2180.37</v>
      </c>
      <c r="F59" s="38" t="n">
        <f aca="false">F55+F56+F57+F58</f>
        <v>6273.62</v>
      </c>
      <c r="G59" s="38" t="n">
        <f aca="false">G55+G56+G57+G58</f>
        <v>7551.78</v>
      </c>
      <c r="H59" s="38" t="n">
        <f aca="false">H55+H56+H57+H58</f>
        <v>9137.04073436378</v>
      </c>
      <c r="I59" s="38" t="n">
        <f aca="false">I55+I56+I57+I58</f>
        <v>9278.09425154948</v>
      </c>
      <c r="J59" s="38" t="n">
        <f aca="false">J55+J56+J57+J58</f>
        <v>9904.59139260892</v>
      </c>
      <c r="K59" s="38" t="n">
        <f aca="false">K55+K56+K57+K58</f>
        <v>10531.9495970821</v>
      </c>
      <c r="L59" s="38" t="n">
        <f aca="false">L55+L56+L57+L58</f>
        <v>11173.7900921621</v>
      </c>
    </row>
    <row r="60" customFormat="false" ht="15" hidden="false" customHeight="false" outlineLevel="0" collapsed="false">
      <c r="A60" s="4" t="s">
        <v>293</v>
      </c>
      <c r="D60" s="35" t="n">
        <f aca="false">CashFlow!D27</f>
        <v>-7891.09000000001</v>
      </c>
      <c r="E60" s="35" t="n">
        <f aca="false">CashFlow!E27</f>
        <v>-5387.63999999999</v>
      </c>
      <c r="F60" s="35" t="n">
        <f aca="false">CashFlow!F27</f>
        <v>-6511.04</v>
      </c>
      <c r="G60" s="35" t="n">
        <f aca="false">CashFlow!G27</f>
        <v>-3750.45</v>
      </c>
      <c r="H60" s="35" t="n">
        <f aca="false">-Assumptions!H27</f>
        <v>-3500</v>
      </c>
      <c r="I60" s="35" t="n">
        <f aca="false">-Assumptions!I27</f>
        <v>-3200</v>
      </c>
      <c r="J60" s="35" t="n">
        <f aca="false">-Assumptions!J27</f>
        <v>-3000</v>
      </c>
      <c r="K60" s="35" t="n">
        <f aca="false">-Assumptions!K27</f>
        <v>-3000</v>
      </c>
      <c r="L60" s="35" t="n">
        <f aca="false">-Assumptions!L27</f>
        <v>-3000</v>
      </c>
    </row>
    <row r="61" customFormat="false" ht="15" hidden="false" customHeight="false" outlineLevel="0" collapsed="false">
      <c r="A61" s="4" t="s">
        <v>294</v>
      </c>
      <c r="D61" s="35" t="n">
        <f aca="false">CashFlow!D28</f>
        <v>-372.68</v>
      </c>
      <c r="E61" s="35" t="n">
        <f aca="false">CashFlow!E28</f>
        <v>-103.73</v>
      </c>
      <c r="F61" s="35" t="n">
        <f aca="false">CashFlow!F28</f>
        <v>-95.8199999999999</v>
      </c>
      <c r="G61" s="35" t="n">
        <f aca="false">CashFlow!G28</f>
        <v>-93.4500000000001</v>
      </c>
      <c r="H61" s="35" t="n">
        <f aca="false">-(H42-G42)</f>
        <v>-0</v>
      </c>
      <c r="I61" s="35" t="n">
        <f aca="false">-(I42-H42)</f>
        <v>-0</v>
      </c>
      <c r="J61" s="35" t="n">
        <f aca="false">-(J42-I42)</f>
        <v>-0</v>
      </c>
      <c r="K61" s="35" t="n">
        <f aca="false">-(K42-J42)</f>
        <v>-0</v>
      </c>
      <c r="L61" s="35" t="n">
        <f aca="false">-(L42-K42)</f>
        <v>-0</v>
      </c>
    </row>
    <row r="62" customFormat="false" ht="15" hidden="false" customHeight="false" outlineLevel="0" collapsed="false">
      <c r="A62" s="13" t="s">
        <v>295</v>
      </c>
      <c r="B62" s="14"/>
      <c r="D62" s="38" t="n">
        <f aca="false">D60+D61</f>
        <v>-8263.77000000001</v>
      </c>
      <c r="E62" s="38" t="n">
        <f aca="false">E60+E61</f>
        <v>-5491.36999999999</v>
      </c>
      <c r="F62" s="38" t="n">
        <f aca="false">F60+F61</f>
        <v>-6606.86</v>
      </c>
      <c r="G62" s="38" t="n">
        <f aca="false">G60+G61</f>
        <v>-3843.9</v>
      </c>
      <c r="H62" s="38" t="n">
        <f aca="false">H60+H61</f>
        <v>-3500</v>
      </c>
      <c r="I62" s="38" t="n">
        <f aca="false">I60+I61</f>
        <v>-3200</v>
      </c>
      <c r="J62" s="38" t="n">
        <f aca="false">J60+J61</f>
        <v>-3000</v>
      </c>
      <c r="K62" s="38" t="n">
        <f aca="false">K60+K61</f>
        <v>-3000</v>
      </c>
      <c r="L62" s="38" t="n">
        <f aca="false">L60+L61</f>
        <v>-3000</v>
      </c>
    </row>
    <row r="63" customFormat="false" ht="15" hidden="false" customHeight="false" outlineLevel="0" collapsed="false">
      <c r="A63" s="4" t="s">
        <v>296</v>
      </c>
      <c r="D63" s="35" t="n">
        <f aca="false">CashFlow!D31+CashFlow!D32</f>
        <v>4849.85</v>
      </c>
      <c r="E63" s="35" t="n">
        <f aca="false">CashFlow!E31+CashFlow!E32</f>
        <v>5829.95</v>
      </c>
      <c r="F63" s="35" t="n">
        <f aca="false">CashFlow!F31+CashFlow!F32</f>
        <v>3120.96</v>
      </c>
      <c r="G63" s="35" t="n">
        <f aca="false">CashFlow!G31+CashFlow!G32</f>
        <v>-587.6</v>
      </c>
      <c r="H63" s="35" t="n">
        <f aca="false">(H32-G32)+(H36-G36)</f>
        <v>-1500</v>
      </c>
      <c r="I63" s="35" t="n">
        <f aca="false">(I32-H32)+(I36-H36)</f>
        <v>-1500</v>
      </c>
      <c r="J63" s="35" t="n">
        <f aca="false">(J32-I32)+(J36-I36)</f>
        <v>-1500</v>
      </c>
      <c r="K63" s="35" t="n">
        <f aca="false">(K32-J32)+(K36-J36)</f>
        <v>-1500</v>
      </c>
      <c r="L63" s="35" t="n">
        <f aca="false">(L32-K32)+(L36-K36)</f>
        <v>-1500</v>
      </c>
    </row>
    <row r="64" customFormat="false" ht="15" hidden="false" customHeight="false" outlineLevel="0" collapsed="false">
      <c r="A64" s="4" t="s">
        <v>297</v>
      </c>
      <c r="D64" s="35" t="n">
        <f aca="false">CashFlow!D33</f>
        <v>0</v>
      </c>
      <c r="E64" s="35" t="n">
        <f aca="false">CashFlow!E33</f>
        <v>0</v>
      </c>
      <c r="F64" s="35" t="n">
        <f aca="false">CashFlow!F33</f>
        <v>0</v>
      </c>
      <c r="G64" s="35" t="n">
        <f aca="false">CashFlow!G33</f>
        <v>0</v>
      </c>
      <c r="H64" s="35" t="n">
        <f aca="false">H29-G29</f>
        <v>0</v>
      </c>
      <c r="I64" s="35" t="n">
        <f aca="false">I29-H29</f>
        <v>0</v>
      </c>
      <c r="J64" s="35" t="n">
        <f aca="false">J29-I29</f>
        <v>0</v>
      </c>
      <c r="K64" s="35" t="n">
        <f aca="false">K29-J29</f>
        <v>0</v>
      </c>
      <c r="L64" s="35" t="n">
        <f aca="false">L29-K29</f>
        <v>0</v>
      </c>
    </row>
    <row r="65" customFormat="false" ht="15" hidden="false" customHeight="false" outlineLevel="0" collapsed="false">
      <c r="A65" s="4" t="s">
        <v>298</v>
      </c>
      <c r="D65" s="35" t="n">
        <f aca="false">CashFlow!D34+CashFlow!D35</f>
        <v>-124.28</v>
      </c>
      <c r="E65" s="35" t="n">
        <f aca="false">CashFlow!E34+CashFlow!E35</f>
        <v>-0</v>
      </c>
      <c r="F65" s="35" t="n">
        <f aca="false">CashFlow!F34+CashFlow!F35</f>
        <v>-0</v>
      </c>
      <c r="G65" s="35" t="n">
        <f aca="false">CashFlow!G34+CashFlow!G35</f>
        <v>-0</v>
      </c>
      <c r="H65" s="35" t="n">
        <f aca="false">-(H23+H24)</f>
        <v>-287.932420248388</v>
      </c>
      <c r="I65" s="35" t="n">
        <f aca="false">-(I23+I24)</f>
        <v>-463.531612015053</v>
      </c>
      <c r="J65" s="35" t="n">
        <f aca="false">-(J23+J24)</f>
        <v>-770.697991852769</v>
      </c>
      <c r="K65" s="35" t="n">
        <f aca="false">-(K23+K24)</f>
        <v>-918.358801343527</v>
      </c>
      <c r="L65" s="35" t="n">
        <f aca="false">-(L23+L24)</f>
        <v>-1075.12805175817</v>
      </c>
    </row>
    <row r="66" customFormat="false" ht="15" hidden="false" customHeight="false" outlineLevel="0" collapsed="false">
      <c r="A66" s="4" t="s">
        <v>299</v>
      </c>
      <c r="D66" s="35" t="n">
        <f aca="false">CashFlow!D36</f>
        <v>-2300.45</v>
      </c>
      <c r="E66" s="35" t="n">
        <f aca="false">CashFlow!E36</f>
        <v>-2527.82</v>
      </c>
      <c r="F66" s="35" t="n">
        <f aca="false">CashFlow!F36</f>
        <v>-2822.75</v>
      </c>
      <c r="G66" s="35" t="n">
        <f aca="false">CashFlow!G36</f>
        <v>-3154.92</v>
      </c>
      <c r="H66" s="35" t="n">
        <f aca="false">-H16</f>
        <v>-3107.541</v>
      </c>
      <c r="I66" s="35" t="n">
        <f aca="false">-I16</f>
        <v>-2995.041</v>
      </c>
      <c r="J66" s="35" t="n">
        <f aca="false">-J16</f>
        <v>-2882.541</v>
      </c>
      <c r="K66" s="35" t="n">
        <f aca="false">-K16</f>
        <v>-2770.041</v>
      </c>
      <c r="L66" s="35" t="n">
        <f aca="false">-L16</f>
        <v>-2657.541</v>
      </c>
    </row>
    <row r="67" customFormat="false" ht="15" hidden="false" customHeight="false" outlineLevel="0" collapsed="false">
      <c r="A67" s="13" t="s">
        <v>300</v>
      </c>
      <c r="B67" s="14"/>
      <c r="D67" s="38" t="n">
        <f aca="false">D63+D64+D65+D66</f>
        <v>2425.12</v>
      </c>
      <c r="E67" s="38" t="n">
        <f aca="false">E63+E64+E65+E66</f>
        <v>3302.13</v>
      </c>
      <c r="F67" s="38" t="n">
        <f aca="false">F63+F64+F65+F66</f>
        <v>298.209999999999</v>
      </c>
      <c r="G67" s="38" t="n">
        <f aca="false">G63+G64+G65+G66</f>
        <v>-3742.52</v>
      </c>
      <c r="H67" s="38" t="n">
        <f aca="false">H63+H64+H65+H66</f>
        <v>-4895.47342024839</v>
      </c>
      <c r="I67" s="38" t="n">
        <f aca="false">I63+I64+I65+I66</f>
        <v>-4958.57261201505</v>
      </c>
      <c r="J67" s="38" t="n">
        <f aca="false">J63+J64+J65+J66</f>
        <v>-5153.23899185277</v>
      </c>
      <c r="K67" s="38" t="n">
        <f aca="false">K63+K64+K65+K66</f>
        <v>-5188.39980134353</v>
      </c>
      <c r="L67" s="38" t="n">
        <f aca="false">L63+L64+L65+L66</f>
        <v>-5232.66905175817</v>
      </c>
    </row>
    <row r="68" customFormat="false" ht="15" hidden="false" customHeight="false" outlineLevel="0" collapsed="false">
      <c r="A68" s="13" t="s">
        <v>301</v>
      </c>
      <c r="B68" s="14"/>
      <c r="D68" s="38" t="n">
        <f aca="false">D59+D62+D67</f>
        <v>-2007.28000000001</v>
      </c>
      <c r="E68" s="38" t="n">
        <f aca="false">E59+E62+E67</f>
        <v>-8.86999999998943</v>
      </c>
      <c r="F68" s="38" t="n">
        <f aca="false">F59+F62+F67</f>
        <v>-35.029999999997</v>
      </c>
      <c r="G68" s="38" t="n">
        <f aca="false">G59+G62+G67</f>
        <v>-34.6399999999958</v>
      </c>
      <c r="H68" s="38" t="n">
        <f aca="false">H59+H62+H67</f>
        <v>741.567314115394</v>
      </c>
      <c r="I68" s="38" t="n">
        <f aca="false">I59+I62+I67</f>
        <v>1119.52163953443</v>
      </c>
      <c r="J68" s="38" t="n">
        <f aca="false">J59+J62+J67</f>
        <v>1751.35240075615</v>
      </c>
      <c r="K68" s="38" t="n">
        <f aca="false">K59+K62+K67</f>
        <v>2343.54979573859</v>
      </c>
      <c r="L68" s="38" t="n">
        <f aca="false">L59+L62+L67</f>
        <v>2941.12104040389</v>
      </c>
    </row>
    <row r="69" customFormat="false" ht="15" hidden="false" customHeight="false" outlineLevel="0" collapsed="false">
      <c r="A69" s="4" t="s">
        <v>302</v>
      </c>
      <c r="D69" s="35" t="n">
        <f aca="false">C48</f>
        <v>2305.24</v>
      </c>
      <c r="E69" s="35" t="n">
        <f aca="false">D48</f>
        <v>297.96</v>
      </c>
      <c r="F69" s="35" t="n">
        <f aca="false">E48</f>
        <v>289.09</v>
      </c>
      <c r="G69" s="35" t="n">
        <f aca="false">F48</f>
        <v>254.06</v>
      </c>
      <c r="H69" s="35" t="n">
        <f aca="false">G48</f>
        <v>219.42</v>
      </c>
      <c r="I69" s="35" t="n">
        <f aca="false">H48</f>
        <v>960.987314115394</v>
      </c>
      <c r="J69" s="35" t="n">
        <f aca="false">I48</f>
        <v>2080.50895364982</v>
      </c>
      <c r="K69" s="35" t="n">
        <f aca="false">J48</f>
        <v>3831.86135440598</v>
      </c>
      <c r="L69" s="35" t="n">
        <f aca="false">K48</f>
        <v>6175.41115014456</v>
      </c>
    </row>
    <row r="70" customFormat="false" ht="15" hidden="false" customHeight="false" outlineLevel="0" collapsed="false">
      <c r="A70" s="13" t="s">
        <v>303</v>
      </c>
      <c r="B70" s="14"/>
      <c r="D70" s="38" t="n">
        <f aca="false">D69+D68</f>
        <v>297.959999999986</v>
      </c>
      <c r="E70" s="38" t="n">
        <f aca="false">E69+E68</f>
        <v>289.090000000011</v>
      </c>
      <c r="F70" s="38" t="n">
        <f aca="false">F69+F68</f>
        <v>254.060000000003</v>
      </c>
      <c r="G70" s="38" t="n">
        <f aca="false">G69+G68</f>
        <v>219.420000000004</v>
      </c>
      <c r="H70" s="38" t="n">
        <f aca="false">H69+H68</f>
        <v>960.987314115394</v>
      </c>
      <c r="I70" s="38" t="n">
        <f aca="false">I69+I68</f>
        <v>2080.50895364982</v>
      </c>
      <c r="J70" s="38" t="n">
        <f aca="false">J69+J68</f>
        <v>3831.86135440598</v>
      </c>
      <c r="K70" s="38" t="n">
        <f aca="false">K69+K68</f>
        <v>6175.41115014456</v>
      </c>
      <c r="L70" s="38" t="n">
        <f aca="false">L69+L68</f>
        <v>9116.53219054846</v>
      </c>
    </row>
    <row r="71" customFormat="false" ht="15" hidden="false" customHeight="false" outlineLevel="0" collapsed="false">
      <c r="A71" s="4" t="s">
        <v>304</v>
      </c>
      <c r="D71" s="16" t="n">
        <f aca="false">ROUND(D70-D48,2)</f>
        <v>-0</v>
      </c>
      <c r="E71" s="16" t="n">
        <f aca="false">ROUND(E70-E48,2)</f>
        <v>0</v>
      </c>
      <c r="F71" s="16" t="n">
        <f aca="false">ROUND(F70-F48,2)</f>
        <v>0</v>
      </c>
      <c r="G71" s="16" t="n">
        <f aca="false">ROUND(G70-G48,2)</f>
        <v>0</v>
      </c>
      <c r="H71" s="16" t="n">
        <f aca="false">ROUND(H70-H48,2)</f>
        <v>0</v>
      </c>
      <c r="I71" s="16" t="n">
        <f aca="false">ROUND(I70-I48,2)</f>
        <v>0</v>
      </c>
      <c r="J71" s="16" t="n">
        <f aca="false">ROUND(J70-J48,2)</f>
        <v>0</v>
      </c>
      <c r="K71" s="16" t="n">
        <f aca="false">ROUND(K70-K48,2)</f>
        <v>0</v>
      </c>
      <c r="L71" s="16" t="n">
        <f aca="false">ROUND(L70-L48,2)</f>
        <v>0</v>
      </c>
    </row>
    <row r="72" customFormat="false" ht="15" hidden="false" customHeight="false" outlineLevel="0" collapsed="false">
      <c r="A72" s="3" t="s">
        <v>305</v>
      </c>
      <c r="D72" s="39" t="n">
        <f aca="false">D59+D60</f>
        <v>-4059.72000000001</v>
      </c>
      <c r="E72" s="39" t="n">
        <f aca="false">E59+E60</f>
        <v>-3207.26999999999</v>
      </c>
      <c r="F72" s="39" t="n">
        <f aca="false">F59+F60</f>
        <v>-237.419999999996</v>
      </c>
      <c r="G72" s="39" t="n">
        <f aca="false">G59+G60</f>
        <v>3801.33000000001</v>
      </c>
      <c r="H72" s="39" t="n">
        <f aca="false">H59+H60</f>
        <v>5637.04073436378</v>
      </c>
      <c r="I72" s="39" t="n">
        <f aca="false">I59+I60</f>
        <v>6078.09425154948</v>
      </c>
      <c r="J72" s="39" t="n">
        <f aca="false">J59+J60</f>
        <v>6904.59139260892</v>
      </c>
      <c r="K72" s="39" t="n">
        <f aca="false">K59+K60</f>
        <v>7531.94959708212</v>
      </c>
      <c r="L72" s="39" t="n">
        <f aca="false">L59+L60</f>
        <v>8173.79009216207</v>
      </c>
    </row>
    <row r="74" customFormat="false" ht="15" hidden="false" customHeight="false" outlineLevel="0" collapsed="false">
      <c r="A74" s="11" t="s">
        <v>306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customFormat="false" ht="15" hidden="false" customHeight="false" outlineLevel="0" collapsed="false">
      <c r="A75" s="4" t="s">
        <v>307</v>
      </c>
      <c r="C75" s="23" t="n">
        <f aca="false">(C32+C36)/C31</f>
        <v>0.648680903569677</v>
      </c>
      <c r="D75" s="23" t="n">
        <f aca="false">(D32+D36)/D31</f>
        <v>0.84372523656811</v>
      </c>
      <c r="E75" s="23" t="n">
        <f aca="false">(E32+E36)/E31</f>
        <v>1.08029812497188</v>
      </c>
      <c r="F75" s="23" t="n">
        <f aca="false">(F32+F36)/F31</f>
        <v>1.17662172495854</v>
      </c>
      <c r="G75" s="23" t="n">
        <f aca="false">(G32+G36)/G31</f>
        <v>1.08603341880819</v>
      </c>
      <c r="H75" s="23" t="n">
        <f aca="false">(H32+H36)/H31</f>
        <v>0.992098538817774</v>
      </c>
      <c r="I75" s="23" t="n">
        <f aca="false">(I32+I36)/I31</f>
        <v>0.896341593691045</v>
      </c>
      <c r="J75" s="23" t="n">
        <f aca="false">(J32+J36)/J31</f>
        <v>0.803584744454184</v>
      </c>
      <c r="K75" s="23" t="n">
        <f aca="false">(K32+K36)/K31</f>
        <v>0.71389135757644</v>
      </c>
      <c r="L75" s="23" t="n">
        <f aca="false">(L32+L36)/L31</f>
        <v>0.629158455987866</v>
      </c>
    </row>
    <row r="76" customFormat="false" ht="15" hidden="false" customHeight="false" outlineLevel="0" collapsed="false">
      <c r="A76" s="4" t="s">
        <v>308</v>
      </c>
      <c r="C76" s="23" t="n">
        <f aca="false">(C14+C15)/C16</f>
        <v>2.68277370154652</v>
      </c>
      <c r="D76" s="23" t="n">
        <f aca="false">(D14+D15)/D16</f>
        <v>-2.04614314590624</v>
      </c>
      <c r="E76" s="23" t="n">
        <f aca="false">(E14+E15)/E16</f>
        <v>-0.833247620479308</v>
      </c>
      <c r="F76" s="23" t="n">
        <f aca="false">(F14+F15)/F16</f>
        <v>0.72177132229209</v>
      </c>
      <c r="G76" s="23" t="n">
        <f aca="false">(G14+G15)/G16</f>
        <v>2.18142139895782</v>
      </c>
      <c r="H76" s="23" t="n">
        <f aca="false">(H14+H15)/H16</f>
        <v>2.02705739972538</v>
      </c>
      <c r="I76" s="23" t="n">
        <f aca="false">(I14+I15)/I16</f>
        <v>2.37882637214649</v>
      </c>
      <c r="J76" s="23" t="n">
        <f aca="false">(J14+J15)/J16</f>
        <v>2.78649988782267</v>
      </c>
      <c r="K76" s="23" t="n">
        <f aca="false">(K14+K15)/K16</f>
        <v>3.21523831517097</v>
      </c>
      <c r="L76" s="23" t="n">
        <f aca="false">(L14+L15)/L16</f>
        <v>3.70317697197897</v>
      </c>
    </row>
    <row r="77" customFormat="false" ht="15" hidden="false" customHeight="false" outlineLevel="0" collapsed="false">
      <c r="A77" s="4" t="s">
        <v>309</v>
      </c>
      <c r="C77" s="23" t="n">
        <f aca="false">(C46+C47+C48+C49+C50)/(C36+C37+C38+C39)</f>
        <v>0.826609160809571</v>
      </c>
      <c r="D77" s="23" t="n">
        <f aca="false">(D46+D47+D48+D49+D50)/(D36+D37+D38+D39)</f>
        <v>0.625532507791158</v>
      </c>
      <c r="E77" s="23" t="n">
        <f aca="false">(E46+E47+E48+E49+E50)/(E36+E37+E38+E39)</f>
        <v>0.551446202984561</v>
      </c>
      <c r="F77" s="23" t="n">
        <f aca="false">(F46+F47+F48+F49+F50)/(F36+F37+F38+F39)</f>
        <v>0.682882344023103</v>
      </c>
      <c r="G77" s="23" t="n">
        <f aca="false">(G46+G47+G48+G49+G50)/(G36+G37+G38+G39)</f>
        <v>0.775270172746124</v>
      </c>
      <c r="H77" s="23" t="n">
        <f aca="false">(H46+H47+H48+H49+H50)/(H36+H37+H38+H39)</f>
        <v>0.795038686162316</v>
      </c>
      <c r="I77" s="23" t="n">
        <f aca="false">(I46+I47+I48+I49+I50)/(I36+I37+I38+I39)</f>
        <v>0.834115573437765</v>
      </c>
      <c r="J77" s="23" t="n">
        <f aca="false">(J46+J47+J48+J49+J50)/(J36+J37+J38+J39)</f>
        <v>0.883722949447879</v>
      </c>
      <c r="K77" s="23" t="n">
        <f aca="false">(K46+K47+K48+K49+K50)/(K36+K37+K38+K39)</f>
        <v>0.940106647355018</v>
      </c>
      <c r="L77" s="23" t="n">
        <f aca="false">(L46+L47+L48+L49+L50)/(L36+L37+L38+L39)</f>
        <v>1.00376310099052</v>
      </c>
    </row>
    <row r="78" customFormat="false" ht="15" hidden="false" customHeight="false" outlineLevel="0" collapsed="false">
      <c r="A78" s="4" t="s">
        <v>310</v>
      </c>
      <c r="C78" s="24" t="n">
        <f aca="false">C21/C31</f>
        <v>0.0481023004828436</v>
      </c>
      <c r="D78" s="24" t="n">
        <f aca="false">D21/D31</f>
        <v>-0.102598486066145</v>
      </c>
      <c r="E78" s="24" t="n">
        <f aca="false">E21/E31</f>
        <v>-0.0786813096481831</v>
      </c>
      <c r="F78" s="24" t="n">
        <f aca="false">F21/F31</f>
        <v>-0.0134881125350602</v>
      </c>
      <c r="G78" s="24" t="n">
        <f aca="false">G21/G31</f>
        <v>0.0571095763555732</v>
      </c>
      <c r="H78" s="24" t="n">
        <f aca="false">H21/H31</f>
        <v>0.0593335904951554</v>
      </c>
      <c r="I78" s="24" t="n">
        <f aca="false">I21/I31</f>
        <v>0.0720688211962556</v>
      </c>
      <c r="J78" s="24" t="n">
        <f aca="false">J21/J31</f>
        <v>0.0838418748361072</v>
      </c>
      <c r="K78" s="24" t="n">
        <f aca="false">K21/K31</f>
        <v>0.09251151883923</v>
      </c>
      <c r="L78" s="24" t="n">
        <f aca="false">L21/L31</f>
        <v>0.0996682231789314</v>
      </c>
    </row>
    <row r="79" customFormat="false" ht="15" hidden="false" customHeight="false" outlineLevel="0" collapsed="false">
      <c r="A79" s="4" t="s">
        <v>311</v>
      </c>
      <c r="C79" s="35" t="n">
        <f aca="false">C32+C36-C48</f>
        <v>25915.48</v>
      </c>
      <c r="D79" s="35" t="n">
        <f aca="false">D32+D36-D48</f>
        <v>32772.61</v>
      </c>
      <c r="E79" s="35" t="n">
        <f aca="false">E32+E36-E48</f>
        <v>38611.43</v>
      </c>
      <c r="F79" s="35" t="n">
        <f aca="false">F32+F36-F48</f>
        <v>41767.42</v>
      </c>
      <c r="G79" s="35" t="n">
        <f aca="false">G32+G36-G48</f>
        <v>41214.46</v>
      </c>
      <c r="H79" s="35" t="n">
        <f aca="false">H32+H36-H48</f>
        <v>38972.8926858846</v>
      </c>
      <c r="I79" s="35" t="n">
        <f aca="false">I32+I36-I48</f>
        <v>36353.3710463502</v>
      </c>
      <c r="J79" s="35" t="n">
        <f aca="false">J32+J36-J48</f>
        <v>33102.018645594</v>
      </c>
      <c r="K79" s="35" t="n">
        <f aca="false">K32+K36-K48</f>
        <v>29258.4688498554</v>
      </c>
      <c r="L79" s="35" t="n">
        <f aca="false">L32+L36-L48</f>
        <v>24817.3478094515</v>
      </c>
    </row>
    <row r="80" customFormat="false" ht="15" hidden="false" customHeight="false" outlineLevel="0" collapsed="false">
      <c r="A80" s="4" t="s">
        <v>312</v>
      </c>
      <c r="C80" s="23" t="n">
        <f aca="false">IF(C11&gt;0,C79/C11,"n.m.")</f>
        <v>5.56858700393436</v>
      </c>
      <c r="D80" s="23" t="str">
        <f aca="false">IF(D11&gt;0,D79/D11,"n.m.")</f>
        <v>n.m.</v>
      </c>
      <c r="E80" s="23" t="n">
        <f aca="false">IF(E11&gt;0,E79/E11,"n.m.")</f>
        <v>1015.02181913787</v>
      </c>
      <c r="F80" s="23" t="n">
        <f aca="false">IF(F11&gt;0,F79/F11,"n.m.")</f>
        <v>9.04477624868717</v>
      </c>
      <c r="G80" s="23" t="n">
        <f aca="false">IF(G11&gt;0,G79/G11,"n.m.")</f>
        <v>4.23402447681401</v>
      </c>
      <c r="H80" s="23" t="n">
        <f aca="false">IF(H11&gt;0,H79/H11,"n.m.")</f>
        <v>4.26350852875064</v>
      </c>
      <c r="I80" s="23" t="n">
        <f aca="false">IF(I11&gt;0,I79/I11,"n.m.")</f>
        <v>3.66045293360439</v>
      </c>
      <c r="J80" s="23" t="n">
        <f aca="false">IF(J11&gt;0,J79/J11,"n.m.")</f>
        <v>3.06852716243967</v>
      </c>
      <c r="K80" s="23" t="n">
        <f aca="false">IF(K11&gt;0,K79/K11,"n.m.")</f>
        <v>2.52108281878847</v>
      </c>
      <c r="L80" s="23" t="n">
        <f aca="false">IF(L11&gt;0,L79/L11,"n.m.")</f>
        <v>1.98813028869199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2" min="3" style="0" width="13"/>
  </cols>
  <sheetData>
    <row r="1" customFormat="false" ht="17.35" hidden="false" customHeight="false" outlineLevel="0" collapsed="false">
      <c r="A1" s="1" t="s">
        <v>313</v>
      </c>
    </row>
    <row r="2" customFormat="false" ht="15" hidden="false" customHeight="false" outlineLevel="0" collapsed="false">
      <c r="A2" s="2" t="s">
        <v>314</v>
      </c>
    </row>
    <row r="3" customFormat="false" ht="15" hidden="false" customHeight="false" outlineLevel="0" collapsed="false">
      <c r="A3" s="11" t="s">
        <v>315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customFormat="false" ht="15" hidden="false" customHeight="false" outlineLevel="0" collapsed="false">
      <c r="A4" s="4" t="s">
        <v>316</v>
      </c>
      <c r="C4" s="32" t="n">
        <v>0.07</v>
      </c>
      <c r="D4" s="2" t="s">
        <v>317</v>
      </c>
    </row>
    <row r="5" customFormat="false" ht="15" hidden="false" customHeight="false" outlineLevel="0" collapsed="false">
      <c r="A5" s="4" t="s">
        <v>318</v>
      </c>
      <c r="C5" s="40" t="n">
        <v>1.2</v>
      </c>
      <c r="D5" s="2" t="s">
        <v>319</v>
      </c>
    </row>
    <row r="6" customFormat="false" ht="15" hidden="false" customHeight="false" outlineLevel="0" collapsed="false">
      <c r="A6" s="4" t="s">
        <v>320</v>
      </c>
      <c r="C6" s="32" t="n">
        <v>0.065</v>
      </c>
      <c r="D6" s="2" t="s">
        <v>321</v>
      </c>
    </row>
    <row r="7" customFormat="false" ht="15" hidden="false" customHeight="false" outlineLevel="0" collapsed="false">
      <c r="A7" s="4" t="s">
        <v>322</v>
      </c>
      <c r="C7" s="24" t="n">
        <f aca="false">C4+C5*C6</f>
        <v>0.148</v>
      </c>
    </row>
    <row r="8" customFormat="false" ht="15" hidden="false" customHeight="false" outlineLevel="0" collapsed="false">
      <c r="A8" s="4" t="s">
        <v>323</v>
      </c>
      <c r="C8" s="32" t="n">
        <v>0.075</v>
      </c>
      <c r="D8" s="2" t="s">
        <v>324</v>
      </c>
    </row>
    <row r="9" customFormat="false" ht="15" hidden="false" customHeight="false" outlineLevel="0" collapsed="false">
      <c r="A9" s="4" t="s">
        <v>325</v>
      </c>
      <c r="C9" s="6" t="n">
        <f aca="false">Assumptions!H15</f>
        <v>0.2517</v>
      </c>
    </row>
    <row r="10" customFormat="false" ht="15" hidden="false" customHeight="false" outlineLevel="0" collapsed="false">
      <c r="A10" s="4" t="s">
        <v>326</v>
      </c>
      <c r="C10" s="24" t="n">
        <f aca="false">C8*(1-C9)</f>
        <v>0.0561225</v>
      </c>
    </row>
    <row r="11" customFormat="false" ht="15" hidden="false" customHeight="false" outlineLevel="0" collapsed="false">
      <c r="A11" s="4" t="s">
        <v>327</v>
      </c>
      <c r="C11" s="32" t="n">
        <v>0.35</v>
      </c>
      <c r="D11" s="2" t="s">
        <v>321</v>
      </c>
    </row>
    <row r="12" customFormat="false" ht="15" hidden="false" customHeight="false" outlineLevel="0" collapsed="false">
      <c r="A12" s="3" t="s">
        <v>328</v>
      </c>
      <c r="C12" s="41" t="n">
        <f aca="false">C7*(1-C11)+C10*C11</f>
        <v>0.115842875</v>
      </c>
    </row>
    <row r="13" customFormat="false" ht="15" hidden="false" customHeight="false" outlineLevel="0" collapsed="false">
      <c r="A13" s="4" t="s">
        <v>329</v>
      </c>
      <c r="C13" s="32" t="n">
        <v>0.04</v>
      </c>
      <c r="D13" s="2" t="s">
        <v>321</v>
      </c>
    </row>
    <row r="15" customFormat="false" ht="15" hidden="false" customHeight="false" outlineLevel="0" collapsed="false">
      <c r="A15" s="11" t="s">
        <v>330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15" hidden="false" customHeight="false" outlineLevel="0" collapsed="false">
      <c r="A16" s="9" t="s">
        <v>41</v>
      </c>
      <c r="B16" s="42"/>
      <c r="C16" s="42"/>
      <c r="D16" s="42"/>
      <c r="E16" s="42"/>
      <c r="F16" s="42"/>
      <c r="G16" s="42"/>
      <c r="H16" s="30" t="s">
        <v>234</v>
      </c>
      <c r="I16" s="30" t="s">
        <v>235</v>
      </c>
      <c r="J16" s="30" t="s">
        <v>236</v>
      </c>
      <c r="K16" s="30" t="s">
        <v>237</v>
      </c>
      <c r="L16" s="30" t="s">
        <v>238</v>
      </c>
    </row>
    <row r="17" customFormat="false" ht="15" hidden="false" customHeight="false" outlineLevel="0" collapsed="false">
      <c r="A17" s="4" t="s">
        <v>278</v>
      </c>
      <c r="H17" s="5" t="n">
        <f aca="false">Model!H14</f>
        <v>5736.638575</v>
      </c>
      <c r="I17" s="5" t="n">
        <f aca="false">Model!I14</f>
        <v>6522.78033418</v>
      </c>
      <c r="J17" s="5" t="n">
        <f aca="false">Model!J14</f>
        <v>7388.16483810465</v>
      </c>
      <c r="K17" s="5" t="n">
        <f aca="false">Model!K14</f>
        <v>8223.66450265254</v>
      </c>
      <c r="L17" s="5" t="n">
        <f aca="false">Model!L14</f>
        <v>9117.70653083946</v>
      </c>
    </row>
    <row r="18" customFormat="false" ht="15" hidden="false" customHeight="false" outlineLevel="0" collapsed="false">
      <c r="A18" s="4" t="s">
        <v>331</v>
      </c>
      <c r="H18" s="35" t="n">
        <f aca="false">-MAX(H17,0)*Assumptions!H15</f>
        <v>-1443.9119293275</v>
      </c>
      <c r="I18" s="35" t="n">
        <f aca="false">-MAX(I17,0)*Assumptions!I15</f>
        <v>-1641.78381011311</v>
      </c>
      <c r="J18" s="35" t="n">
        <f aca="false">-MAX(J17,0)*Assumptions!J15</f>
        <v>-1859.60108975094</v>
      </c>
      <c r="K18" s="35" t="n">
        <f aca="false">-MAX(K17,0)*Assumptions!K15</f>
        <v>-2069.89635531764</v>
      </c>
      <c r="L18" s="35" t="n">
        <f aca="false">-MAX(L17,0)*Assumptions!L15</f>
        <v>-2294.92673381229</v>
      </c>
    </row>
    <row r="19" customFormat="false" ht="15" hidden="false" customHeight="false" outlineLevel="0" collapsed="false">
      <c r="A19" s="3" t="s">
        <v>332</v>
      </c>
      <c r="H19" s="38" t="n">
        <f aca="false">H17+H18</f>
        <v>4292.7266456725</v>
      </c>
      <c r="I19" s="38" t="n">
        <f aca="false">I17+I18</f>
        <v>4880.9965240669</v>
      </c>
      <c r="J19" s="38" t="n">
        <f aca="false">J17+J18</f>
        <v>5528.56374835371</v>
      </c>
      <c r="K19" s="38" t="n">
        <f aca="false">K17+K18</f>
        <v>6153.76814733489</v>
      </c>
      <c r="L19" s="38" t="n">
        <f aca="false">L17+L18</f>
        <v>6822.77979702717</v>
      </c>
    </row>
    <row r="20" customFormat="false" ht="15" hidden="false" customHeight="false" outlineLevel="0" collapsed="false">
      <c r="A20" s="4" t="s">
        <v>125</v>
      </c>
      <c r="H20" s="5" t="n">
        <f aca="false">Model!H13</f>
        <v>3404.39924</v>
      </c>
      <c r="I20" s="5" t="n">
        <f aca="false">Model!I13</f>
        <v>3408.60567344</v>
      </c>
      <c r="J20" s="5" t="n">
        <f aca="false">Model!J13</f>
        <v>3399.42702380864</v>
      </c>
      <c r="K20" s="5" t="n">
        <f aca="false">Model!K13</f>
        <v>3381.85223476106</v>
      </c>
      <c r="L20" s="5" t="n">
        <f aca="false">Model!L13</f>
        <v>3365.05073643157</v>
      </c>
    </row>
    <row r="21" customFormat="false" ht="15" hidden="false" customHeight="false" outlineLevel="0" collapsed="false">
      <c r="A21" s="4" t="s">
        <v>333</v>
      </c>
      <c r="H21" s="5" t="n">
        <f aca="false">Model!H58</f>
        <v>236.809019178086</v>
      </c>
      <c r="I21" s="5" t="n">
        <f aca="false">Model!I58</f>
        <v>-215.763168657537</v>
      </c>
      <c r="J21" s="5" t="n">
        <f aca="false">Model!J58</f>
        <v>-230.866590463564</v>
      </c>
      <c r="K21" s="5" t="n">
        <f aca="false">Model!K58</f>
        <v>-211.73764439658</v>
      </c>
      <c r="L21" s="5" t="n">
        <f aca="false">Model!L58</f>
        <v>-224.441903060376</v>
      </c>
    </row>
    <row r="22" customFormat="false" ht="15" hidden="false" customHeight="false" outlineLevel="0" collapsed="false">
      <c r="A22" s="4" t="s">
        <v>334</v>
      </c>
      <c r="H22" s="5" t="n">
        <f aca="false">Model!H60</f>
        <v>-3500</v>
      </c>
      <c r="I22" s="5" t="n">
        <f aca="false">Model!I60</f>
        <v>-3200</v>
      </c>
      <c r="J22" s="5" t="n">
        <f aca="false">Model!J60</f>
        <v>-3000</v>
      </c>
      <c r="K22" s="5" t="n">
        <f aca="false">Model!K60</f>
        <v>-3000</v>
      </c>
      <c r="L22" s="5" t="n">
        <f aca="false">Model!L60</f>
        <v>-3000</v>
      </c>
    </row>
    <row r="23" customFormat="false" ht="15" hidden="false" customHeight="false" outlineLevel="0" collapsed="false">
      <c r="A23" s="3" t="s">
        <v>335</v>
      </c>
      <c r="H23" s="38" t="n">
        <f aca="false">H19+H20+H21+H22</f>
        <v>4433.93490485058</v>
      </c>
      <c r="I23" s="38" t="n">
        <f aca="false">I19+I20+I21+I22</f>
        <v>4873.83902884936</v>
      </c>
      <c r="J23" s="38" t="n">
        <f aca="false">J19+J20+J21+J22</f>
        <v>5697.12418169879</v>
      </c>
      <c r="K23" s="38" t="n">
        <f aca="false">K19+K20+K21+K22</f>
        <v>6323.88273769937</v>
      </c>
      <c r="L23" s="38" t="n">
        <f aca="false">L19+L20+L21+L22</f>
        <v>6963.38863039836</v>
      </c>
    </row>
    <row r="24" customFormat="false" ht="15" hidden="false" customHeight="false" outlineLevel="0" collapsed="false">
      <c r="A24" s="4" t="s">
        <v>336</v>
      </c>
      <c r="H24" s="43" t="n">
        <f aca="false">COLUMN()-COLUMN($G$24)</f>
        <v>1</v>
      </c>
      <c r="I24" s="43" t="n">
        <f aca="false">COLUMN()-COLUMN($G$24)</f>
        <v>2</v>
      </c>
      <c r="J24" s="43" t="n">
        <f aca="false">COLUMN()-COLUMN($G$24)</f>
        <v>3</v>
      </c>
      <c r="K24" s="43" t="n">
        <f aca="false">COLUMN()-COLUMN($G$24)</f>
        <v>4</v>
      </c>
      <c r="L24" s="43" t="n">
        <f aca="false">COLUMN()-COLUMN($G$24)</f>
        <v>5</v>
      </c>
    </row>
    <row r="25" customFormat="false" ht="15" hidden="false" customHeight="false" outlineLevel="0" collapsed="false">
      <c r="A25" s="4" t="s">
        <v>337</v>
      </c>
      <c r="H25" s="44" t="n">
        <f aca="false">1/(1+$C$12)^H24</f>
        <v>0.896183524046788</v>
      </c>
      <c r="I25" s="44" t="n">
        <f aca="false">1/(1+$C$12)^I24</f>
        <v>0.803144908772921</v>
      </c>
      <c r="J25" s="44" t="n">
        <f aca="false">1/(1+$C$12)^J24</f>
        <v>0.719765234664352</v>
      </c>
      <c r="K25" s="44" t="n">
        <f aca="false">1/(1+$C$12)^K24</f>
        <v>0.645041744487863</v>
      </c>
      <c r="L25" s="44" t="n">
        <f aca="false">1/(1+$C$12)^L24</f>
        <v>0.578075783732421</v>
      </c>
    </row>
    <row r="26" customFormat="false" ht="15" hidden="false" customHeight="false" outlineLevel="0" collapsed="false">
      <c r="A26" s="3" t="s">
        <v>338</v>
      </c>
      <c r="H26" s="39" t="n">
        <f aca="false">H23*H25</f>
        <v>3973.61940842306</v>
      </c>
      <c r="I26" s="39" t="n">
        <f aca="false">I23*I25</f>
        <v>3914.39900219912</v>
      </c>
      <c r="J26" s="39" t="n">
        <f aca="false">J23*J25</f>
        <v>4100.59192355239</v>
      </c>
      <c r="K26" s="39" t="n">
        <f aca="false">K23*K25</f>
        <v>4079.16835306229</v>
      </c>
      <c r="L26" s="39" t="n">
        <f aca="false">L23*L25</f>
        <v>4025.36633995096</v>
      </c>
    </row>
    <row r="28" customFormat="false" ht="15" hidden="false" customHeight="false" outlineLevel="0" collapsed="false">
      <c r="A28" s="11" t="s">
        <v>339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15" hidden="false" customHeight="false" outlineLevel="0" collapsed="false">
      <c r="A29" s="4" t="s">
        <v>340</v>
      </c>
      <c r="C29" s="35" t="n">
        <f aca="false">SUM(H26:L26)</f>
        <v>20093.1450271878</v>
      </c>
    </row>
    <row r="30" customFormat="false" ht="15" hidden="false" customHeight="false" outlineLevel="0" collapsed="false">
      <c r="A30" s="4" t="s">
        <v>341</v>
      </c>
      <c r="C30" s="35" t="n">
        <f aca="false">L23*(1+C13)</f>
        <v>7241.9241756143</v>
      </c>
    </row>
    <row r="31" customFormat="false" ht="15" hidden="false" customHeight="false" outlineLevel="0" collapsed="false">
      <c r="A31" s="4" t="s">
        <v>342</v>
      </c>
      <c r="C31" s="35" t="n">
        <f aca="false">C30/(C12-C13)</f>
        <v>95485.8867838844</v>
      </c>
    </row>
    <row r="32" customFormat="false" ht="15" hidden="false" customHeight="false" outlineLevel="0" collapsed="false">
      <c r="A32" s="4" t="s">
        <v>343</v>
      </c>
      <c r="C32" s="35" t="n">
        <f aca="false">C31*L25</f>
        <v>55198.0788379792</v>
      </c>
    </row>
    <row r="33" customFormat="false" ht="15" hidden="false" customHeight="false" outlineLevel="0" collapsed="false">
      <c r="A33" s="3" t="s">
        <v>344</v>
      </c>
      <c r="C33" s="38" t="n">
        <f aca="false">C29+C32</f>
        <v>75291.223865167</v>
      </c>
    </row>
    <row r="34" customFormat="false" ht="15" hidden="false" customHeight="false" outlineLevel="0" collapsed="false">
      <c r="A34" s="4" t="s">
        <v>345</v>
      </c>
      <c r="C34" s="5" t="n">
        <f aca="false">-(Model!G32+Model!G36)</f>
        <v>-41433.88</v>
      </c>
    </row>
    <row r="35" customFormat="false" ht="15" hidden="false" customHeight="false" outlineLevel="0" collapsed="false">
      <c r="A35" s="4" t="s">
        <v>346</v>
      </c>
      <c r="C35" s="5" t="n">
        <f aca="false">Model!G48</f>
        <v>219.42</v>
      </c>
    </row>
    <row r="36" customFormat="false" ht="15" hidden="false" customHeight="false" outlineLevel="0" collapsed="false">
      <c r="A36" s="4" t="s">
        <v>347</v>
      </c>
      <c r="C36" s="5" t="n">
        <f aca="false">Model!G42</f>
        <v>1584.75</v>
      </c>
    </row>
    <row r="37" customFormat="false" ht="15" hidden="false" customHeight="false" outlineLevel="0" collapsed="false">
      <c r="A37" s="3" t="s">
        <v>348</v>
      </c>
      <c r="C37" s="38" t="n">
        <f aca="false">SUM(C33:C36)</f>
        <v>35661.513865167</v>
      </c>
    </row>
    <row r="38" customFormat="false" ht="15" hidden="false" customHeight="false" outlineLevel="0" collapsed="false">
      <c r="A38" s="4" t="s">
        <v>349</v>
      </c>
      <c r="C38" s="8" t="n">
        <f aca="false">Model!G29/Assumptions!C6</f>
        <v>413.053</v>
      </c>
    </row>
    <row r="39" customFormat="false" ht="15" hidden="false" customHeight="false" outlineLevel="0" collapsed="false">
      <c r="A39" s="3" t="s">
        <v>350</v>
      </c>
      <c r="C39" s="45" t="n">
        <f aca="false">C37/C38</f>
        <v>86.3364117078608</v>
      </c>
    </row>
    <row r="40" customFormat="false" ht="15" hidden="false" customHeight="false" outlineLevel="0" collapsed="false">
      <c r="A40" s="4" t="s">
        <v>351</v>
      </c>
      <c r="C40" s="24" t="n">
        <f aca="false">C32/C33</f>
        <v>0.733127660892178</v>
      </c>
    </row>
    <row r="42" customFormat="false" ht="15" hidden="false" customHeight="false" outlineLevel="0" collapsed="false">
      <c r="A42" s="11" t="s">
        <v>352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false" outlineLevel="0" collapsed="false">
      <c r="B43" s="3" t="s">
        <v>353</v>
      </c>
      <c r="C43" s="46" t="n">
        <f aca="false">$C$13+(-0.01)</f>
        <v>0.03</v>
      </c>
      <c r="D43" s="46" t="n">
        <f aca="false">$C$13+(-0.005)</f>
        <v>0.035</v>
      </c>
      <c r="E43" s="46" t="n">
        <f aca="false">$C$13+(0)</f>
        <v>0.04</v>
      </c>
      <c r="F43" s="46" t="n">
        <f aca="false">$C$13+(0.005)</f>
        <v>0.045</v>
      </c>
      <c r="G43" s="46" t="n">
        <f aca="false">$C$13+(0.01)</f>
        <v>0.05</v>
      </c>
    </row>
    <row r="44" customFormat="false" ht="15" hidden="false" customHeight="false" outlineLevel="0" collapsed="false">
      <c r="B44" s="46" t="n">
        <f aca="false">$C$12+(-0.01)</f>
        <v>0.105842875</v>
      </c>
      <c r="C44" s="47" t="n">
        <f aca="false">(SUMPRODUCT($H$23:$L$23/(1+$B44)^$H$24:$L$24)+$L$23*(1+C$43)/($B44-C$43)/(1+$B44)^$L$24+$C$34+$C$35+$C$36)/$C$38</f>
        <v>92.4864641706847</v>
      </c>
      <c r="D44" s="47" t="n">
        <f aca="false">(SUMPRODUCT($H$23:$L$23/(1+$B44)^$H$24:$L$24)+$L$23*(1+D$43)/($B44-D$43)/(1+$B44)^$L$24+$C$34+$C$35+$C$36)/$C$38</f>
        <v>102.977060979538</v>
      </c>
      <c r="E44" s="47" t="n">
        <f aca="false">(SUMPRODUCT($H$23:$L$23/(1+$B44)^$H$24:$L$24)+$L$23*(1+E$43)/($B44-E$43)/(1+$B44)^$L$24+$C$34+$C$35+$C$36)/$C$38</f>
        <v>115.06093524003</v>
      </c>
      <c r="F44" s="47" t="n">
        <f aca="false">(SUMPRODUCT($H$23:$L$23/(1+$B44)^$H$24:$L$24)+$L$23*(1+F$43)/($B44-F$43)/(1+$B44)^$L$24+$C$34+$C$35+$C$36)/$C$38</f>
        <v>129.130888274823</v>
      </c>
      <c r="G44" s="47" t="n">
        <f aca="false">(SUMPRODUCT($H$23:$L$23/(1+$B44)^$H$24:$L$24)+$L$23*(1+G$43)/($B44-G$43)/(1+$B44)^$L$24+$C$34+$C$35+$C$36)/$C$38</f>
        <v>145.720402316242</v>
      </c>
    </row>
    <row r="45" customFormat="false" ht="15" hidden="false" customHeight="false" outlineLevel="0" collapsed="false">
      <c r="B45" s="46" t="n">
        <f aca="false">$C$12+(-0.005)</f>
        <v>0.110842875</v>
      </c>
      <c r="C45" s="47" t="n">
        <f aca="false">(SUMPRODUCT($H$23:$L$23/(1+$B45)^$H$24:$L$24)+$L$23*(1+C$43)/($B45-C$43)/(1+$B45)^$L$24+$C$34+$C$35+$C$36)/$C$38</f>
        <v>80.3492781061204</v>
      </c>
      <c r="D45" s="47" t="n">
        <f aca="false">(SUMPRODUCT($H$23:$L$23/(1+$B45)^$H$24:$L$24)+$L$23*(1+D$43)/($B45-D$43)/(1+$B45)^$L$24+$C$34+$C$35+$C$36)/$C$38</f>
        <v>89.3778234810298</v>
      </c>
      <c r="E45" s="47" t="n">
        <f aca="false">(SUMPRODUCT($H$23:$L$23/(1+$B45)^$H$24:$L$24)+$L$23*(1+E$43)/($B45-E$43)/(1+$B45)^$L$24+$C$34+$C$35+$C$36)/$C$38</f>
        <v>99.6808153510751</v>
      </c>
      <c r="F45" s="47" t="n">
        <f aca="false">(SUMPRODUCT($H$23:$L$23/(1+$B45)^$H$24:$L$24)+$L$23*(1+F$43)/($B45-F$43)/(1+$B45)^$L$24+$C$34+$C$35+$C$36)/$C$38</f>
        <v>111.548591849684</v>
      </c>
      <c r="G45" s="47" t="n">
        <f aca="false">(SUMPRODUCT($H$23:$L$23/(1+$B45)^$H$24:$L$24)+$L$23*(1+G$43)/($B45-G$43)/(1+$B45)^$L$24+$C$34+$C$35+$C$36)/$C$38</f>
        <v>125.366929773704</v>
      </c>
    </row>
    <row r="46" customFormat="false" ht="15" hidden="false" customHeight="false" outlineLevel="0" collapsed="false">
      <c r="B46" s="46" t="n">
        <f aca="false">$C$12+(0)</f>
        <v>0.115842875</v>
      </c>
      <c r="C46" s="47" t="n">
        <f aca="false">(SUMPRODUCT($H$23:$L$23/(1+$B46)^$H$24:$L$24)+$L$23*(1+C$43)/($B46-C$43)/(1+$B46)^$L$24+$C$34+$C$35+$C$36)/$C$38</f>
        <v>69.6338289346105</v>
      </c>
      <c r="D46" s="47" t="n">
        <f aca="false">(SUMPRODUCT($H$23:$L$23/(1+$B46)^$H$24:$L$24)+$L$23*(1+D$43)/($B46-D$43)/(1+$B46)^$L$24+$C$34+$C$35+$C$36)/$C$38</f>
        <v>77.4686065662123</v>
      </c>
      <c r="E46" s="48" t="n">
        <f aca="false">(SUMPRODUCT($H$23:$L$23/(1+$B46)^$H$24:$L$24)+$L$23*(1+E$43)/($B46-E$43)/(1+$B46)^$L$24+$C$34+$C$35+$C$36)/$C$38</f>
        <v>86.3364117078608</v>
      </c>
      <c r="F46" s="47" t="n">
        <f aca="false">(SUMPRODUCT($H$23:$L$23/(1+$B46)^$H$24:$L$24)+$L$23*(1+F$43)/($B46-F$43)/(1+$B46)^$L$24+$C$34+$C$35+$C$36)/$C$38</f>
        <v>96.4559736622653</v>
      </c>
      <c r="G46" s="47" t="n">
        <f aca="false">(SUMPRODUCT($H$23:$L$23/(1+$B46)^$H$24:$L$24)+$L$23*(1+G$43)/($B46-G$43)/(1+$B46)^$L$24+$C$34+$C$35+$C$36)/$C$38</f>
        <v>108.112461510991</v>
      </c>
    </row>
    <row r="47" customFormat="false" ht="15" hidden="false" customHeight="false" outlineLevel="0" collapsed="false">
      <c r="B47" s="46" t="n">
        <f aca="false">$C$12+(0.005)</f>
        <v>0.120842875</v>
      </c>
      <c r="C47" s="47" t="n">
        <f aca="false">(SUMPRODUCT($H$23:$L$23/(1+$B47)^$H$24:$L$24)+$L$23*(1+C$43)/($B47-C$43)/(1+$B47)^$L$24+$C$34+$C$35+$C$36)/$C$38</f>
        <v>60.1051907767554</v>
      </c>
      <c r="D47" s="47" t="n">
        <f aca="false">(SUMPRODUCT($H$23:$L$23/(1+$B47)^$H$24:$L$24)+$L$23*(1+D$43)/($B47-D$43)/(1+$B47)^$L$24+$C$34+$C$35+$C$36)/$C$38</f>
        <v>66.9539325412344</v>
      </c>
      <c r="E47" s="47" t="n">
        <f aca="false">(SUMPRODUCT($H$23:$L$23/(1+$B47)^$H$24:$L$24)+$L$23*(1+E$43)/($B47-E$43)/(1+$B47)^$L$24+$C$34+$C$35+$C$36)/$C$38</f>
        <v>74.6498413274799</v>
      </c>
      <c r="F47" s="47" t="n">
        <f aca="false">(SUMPRODUCT($H$23:$L$23/(1+$B47)^$H$24:$L$24)+$L$23*(1+F$43)/($B47-F$43)/(1+$B47)^$L$24+$C$34+$C$35+$C$36)/$C$38</f>
        <v>83.3604675524096</v>
      </c>
      <c r="G47" s="47" t="n">
        <f aca="false">(SUMPRODUCT($H$23:$L$23/(1+$B47)^$H$24:$L$24)+$L$23*(1+G$43)/($B47-G$43)/(1+$B47)^$L$24+$C$34+$C$35+$C$36)/$C$38</f>
        <v>93.3006636140985</v>
      </c>
    </row>
    <row r="48" customFormat="false" ht="15" hidden="false" customHeight="false" outlineLevel="0" collapsed="false">
      <c r="B48" s="46" t="n">
        <f aca="false">$C$12+(0.01)</f>
        <v>0.125842875</v>
      </c>
      <c r="C48" s="47" t="n">
        <f aca="false">(SUMPRODUCT($H$23:$L$23/(1+$B48)^$H$24:$L$24)+$L$23*(1+C$43)/($B48-C$43)/(1+$B48)^$L$24+$C$34+$C$35+$C$36)/$C$38</f>
        <v>51.577465299158</v>
      </c>
      <c r="D48" s="47" t="n">
        <f aca="false">(SUMPRODUCT($H$23:$L$23/(1+$B48)^$H$24:$L$24)+$L$23*(1+D$43)/($B48-D$43)/(1+$B48)^$L$24+$C$34+$C$35+$C$36)/$C$38</f>
        <v>57.6033805542111</v>
      </c>
      <c r="E48" s="47" t="n">
        <f aca="false">(SUMPRODUCT($H$23:$L$23/(1+$B48)^$H$24:$L$24)+$L$23*(1+E$43)/($B48-E$43)/(1+$B48)^$L$24+$C$34+$C$35+$C$36)/$C$38</f>
        <v>64.3312661539263</v>
      </c>
      <c r="F48" s="47" t="n">
        <f aca="false">(SUMPRODUCT($H$23:$L$23/(1+$B48)^$H$24:$L$24)+$L$23*(1+F$43)/($B48-F$43)/(1+$B48)^$L$24+$C$34+$C$35+$C$36)/$C$38</f>
        <v>71.8913692619519</v>
      </c>
      <c r="G48" s="47" t="n">
        <f aca="false">(SUMPRODUCT($H$23:$L$23/(1+$B48)^$H$24:$L$24)+$L$23*(1+G$43)/($B48-G$43)/(1+$B48)^$L$24+$C$34+$C$35+$C$36)/$C$38</f>
        <v>80.4482836206092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2026-10-03T17:02:59Z</dcterms:created>
  <dc:creator>openpyxl</dc:creator>
  <dc:description/>
  <dc:language>en-US</dc:language>
  <cp:lastModifiedBy/>
  <dcterms:modified xsi:type="dcterms:W3CDTF">2026-10-03T17:03:00Z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